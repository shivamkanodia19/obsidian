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8_{7E48DCCB-C742-4372-AD07-97A31D9BCAF0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Assumptions" sheetId="1" r:id="rId1"/>
    <sheet name="Clinic Revenue" sheetId="2" r:id="rId2"/>
    <sheet name="Student Revenue" sheetId="3" r:id="rId3"/>
    <sheet name="Summ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6" i="4" l="1"/>
  <c r="F16" i="4"/>
  <c r="E16" i="4"/>
  <c r="D16" i="4"/>
  <c r="C16" i="4"/>
  <c r="G16" i="3"/>
  <c r="F16" i="3"/>
  <c r="E16" i="3"/>
  <c r="D16" i="3"/>
  <c r="C16" i="3"/>
  <c r="G11" i="3"/>
  <c r="G12" i="3" s="1"/>
  <c r="F11" i="3"/>
  <c r="F12" i="3" s="1"/>
  <c r="E11" i="3"/>
  <c r="E12" i="3" s="1"/>
  <c r="D11" i="3"/>
  <c r="D12" i="3" s="1"/>
  <c r="C11" i="3"/>
  <c r="C12" i="3" s="1"/>
  <c r="C13" i="3" s="1"/>
  <c r="C7" i="3"/>
  <c r="G5" i="3"/>
  <c r="G6" i="3" s="1"/>
  <c r="F5" i="3"/>
  <c r="F6" i="3" s="1"/>
  <c r="E5" i="3"/>
  <c r="E6" i="3" s="1"/>
  <c r="G4" i="3"/>
  <c r="F4" i="3"/>
  <c r="E4" i="3"/>
  <c r="D4" i="3"/>
  <c r="D5" i="3" s="1"/>
  <c r="D6" i="3" s="1"/>
  <c r="C4" i="3"/>
  <c r="C5" i="3" s="1"/>
  <c r="C6" i="3" s="1"/>
  <c r="C8" i="3" s="1"/>
  <c r="G11" i="2"/>
  <c r="F11" i="2"/>
  <c r="E11" i="2"/>
  <c r="D11" i="2"/>
  <c r="C11" i="2"/>
  <c r="C7" i="2"/>
  <c r="G6" i="2"/>
  <c r="F6" i="2"/>
  <c r="E6" i="2"/>
  <c r="D6" i="2"/>
  <c r="C6" i="2"/>
  <c r="C8" i="2" s="1"/>
  <c r="G5" i="2"/>
  <c r="F5" i="2"/>
  <c r="E5" i="2"/>
  <c r="D5" i="2"/>
  <c r="C5" i="2"/>
  <c r="G4" i="2"/>
  <c r="F4" i="2"/>
  <c r="E4" i="2"/>
  <c r="D4" i="2"/>
  <c r="C4" i="2"/>
  <c r="G15" i="4"/>
  <c r="F15" i="4"/>
  <c r="E15" i="4"/>
  <c r="D15" i="4"/>
  <c r="C15" i="4"/>
  <c r="C6" i="4"/>
  <c r="C5" i="4"/>
  <c r="C4" i="4"/>
  <c r="C19" i="4" l="1"/>
  <c r="C12" i="2"/>
  <c r="C9" i="4" s="1"/>
  <c r="D7" i="2"/>
  <c r="D8" i="2" s="1"/>
  <c r="C20" i="4"/>
  <c r="D7" i="3"/>
  <c r="C17" i="3"/>
  <c r="D8" i="3"/>
  <c r="C21" i="4"/>
  <c r="D13" i="3"/>
  <c r="C18" i="3"/>
  <c r="C11" i="4" s="1"/>
  <c r="D12" i="2" l="1"/>
  <c r="D9" i="4" s="1"/>
  <c r="D19" i="4"/>
  <c r="E7" i="2"/>
  <c r="E8" i="2" s="1"/>
  <c r="C19" i="3"/>
  <c r="C10" i="4"/>
  <c r="C12" i="4"/>
  <c r="D18" i="3"/>
  <c r="D11" i="4" s="1"/>
  <c r="E13" i="3"/>
  <c r="D21" i="4"/>
  <c r="D20" i="4"/>
  <c r="E7" i="3"/>
  <c r="E8" i="3" s="1"/>
  <c r="D17" i="3"/>
  <c r="E17" i="3" l="1"/>
  <c r="E20" i="4"/>
  <c r="F7" i="3"/>
  <c r="F8" i="3" s="1"/>
  <c r="E19" i="4"/>
  <c r="E12" i="2"/>
  <c r="E9" i="4" s="1"/>
  <c r="F7" i="2"/>
  <c r="F8" i="2" s="1"/>
  <c r="D19" i="3"/>
  <c r="D10" i="4"/>
  <c r="F13" i="3"/>
  <c r="E21" i="4"/>
  <c r="E18" i="3"/>
  <c r="E11" i="4" s="1"/>
  <c r="D12" i="4"/>
  <c r="F19" i="4" l="1"/>
  <c r="G7" i="2"/>
  <c r="F12" i="2"/>
  <c r="F9" i="4" s="1"/>
  <c r="G8" i="2"/>
  <c r="F20" i="4"/>
  <c r="G7" i="3"/>
  <c r="G8" i="3" s="1"/>
  <c r="F17" i="3"/>
  <c r="G13" i="3"/>
  <c r="F21" i="4"/>
  <c r="F18" i="3"/>
  <c r="F11" i="4" s="1"/>
  <c r="E19" i="3"/>
  <c r="E10" i="4"/>
  <c r="E12" i="4" s="1"/>
  <c r="G20" i="4" l="1"/>
  <c r="G17" i="3"/>
  <c r="G18" i="3"/>
  <c r="G11" i="4" s="1"/>
  <c r="G21" i="4"/>
  <c r="F19" i="3"/>
  <c r="F10" i="4"/>
  <c r="G19" i="4"/>
  <c r="G12" i="2"/>
  <c r="G9" i="4" s="1"/>
  <c r="F12" i="4"/>
  <c r="G10" i="4" l="1"/>
  <c r="G12" i="4" s="1"/>
  <c r="G19" i="3"/>
</calcChain>
</file>

<file path=xl/sharedStrings.xml><?xml version="1.0" encoding="utf-8"?>
<sst xmlns="http://schemas.openxmlformats.org/spreadsheetml/2006/main" count="148" uniqueCount="130">
  <si>
    <t>ClinicalHours — Model Assumptions</t>
  </si>
  <si>
    <t>Assumption</t>
  </si>
  <si>
    <t>Value</t>
  </si>
  <si>
    <t>Rationale / Source</t>
  </si>
  <si>
    <t>MARKET SIZING — FOR REFERENCE</t>
  </si>
  <si>
    <t xml:space="preserve">  TAM (combined)</t>
  </si>
  <si>
    <t>32,380 clinic locations × $750 + 191,000 students × 5% × $60 — see appendix</t>
  </si>
  <si>
    <t xml:space="preserve">  SAM (combined)</t>
  </si>
  <si>
    <t>17,600 clinic locations × 30% × $750 + 133,000 students × 5% × $60</t>
  </si>
  <si>
    <t xml:space="preserve">  SOM (combined, Texas Year 1)</t>
  </si>
  <si>
    <t>1,250 TX sites × 60% × $750 + 18,900 TX students × 5% × $60</t>
  </si>
  <si>
    <t>CLINIC SIDE</t>
  </si>
  <si>
    <t xml:space="preserve">  Addressable TX clinic sites (Y1-Y2)</t>
  </si>
  <si>
    <t>700 FQHC sites (TX DSHS) + 550 free clinics (Free Clinic Directory)</t>
  </si>
  <si>
    <t xml:space="preserve">  Addressable national clinic sites (Y3+)</t>
  </si>
  <si>
    <t>16,200 FQHC sites (HRSA) + 1,400 free clinics (NAFC)</t>
  </si>
  <si>
    <t xml:space="preserve">  Clinic close rate Y1</t>
  </si>
  <si>
    <t>Conservative; 1 confirmed partner at launch (BCS Free Health)</t>
  </si>
  <si>
    <t xml:space="preserve">  Clinic close rate Y2</t>
  </si>
  <si>
    <t>Grows with product proof points and active outreach</t>
  </si>
  <si>
    <t xml:space="preserve">  Clinic close rate Y3</t>
  </si>
  <si>
    <t>National expansion opens cold market; lower initial close rate</t>
  </si>
  <si>
    <t xml:space="preserve">  Clinic close rate Y4</t>
  </si>
  <si>
    <t>Network effect + referrals compound close rate nationally</t>
  </si>
  <si>
    <t xml:space="preserve">  Clinic close rate Y5</t>
  </si>
  <si>
    <t>Established brand; referral flywheel at scale</t>
  </si>
  <si>
    <t xml:space="preserve">  Annual clinic churn rate</t>
  </si>
  <si>
    <t>Standard SaaS churn for small-org buyer segment</t>
  </si>
  <si>
    <t xml:space="preserve">  Clinic price Y1-Y2 ($/site/yr)</t>
  </si>
  <si>
    <t>Below $1K threshold; eases buy decision for smaller clinics</t>
  </si>
  <si>
    <t xml:space="preserve">  Clinic price Y3+ ($/site/yr)</t>
  </si>
  <si>
    <t>Price increase as product matures and value is proven</t>
  </si>
  <si>
    <t xml:space="preserve">  Willingness to pay (SOM basis)</t>
  </si>
  <si>
    <t>60% of TX sites willing to pay; 40% too small or unwilling at $750</t>
  </si>
  <si>
    <t>STUDENT SIDE</t>
  </si>
  <si>
    <t xml:space="preserve">  Annual med school applicants (national)</t>
  </si>
  <si>
    <t>AAMC 2025 Applicant and Matriculant Data</t>
  </si>
  <si>
    <t xml:space="preserve">  Average pre-med pipeline years</t>
  </si>
  <si>
    <t>Average time as serious pre-med before applying</t>
  </si>
  <si>
    <t xml:space="preserve">  National serious pre-med students</t>
  </si>
  <si>
    <t>54,699 × 3.5 years (rounded)</t>
  </si>
  <si>
    <t xml:space="preserve">  Universities producing applicants (SAM)</t>
  </si>
  <si>
    <t>AAMC institutional breakdown</t>
  </si>
  <si>
    <t xml:space="preserve">  Reachable pre-med orgs per university</t>
  </si>
  <si>
    <t>Average across 950 schools with active pre-med programs</t>
  </si>
  <si>
    <t xml:space="preserve">  Active members per org</t>
  </si>
  <si>
    <t>Conservative estimate for high-performing pre-med orgs</t>
  </si>
  <si>
    <t xml:space="preserve">  SAM reachable students</t>
  </si>
  <si>
    <t>950 × 2 × 70 = 133,000</t>
  </si>
  <si>
    <t xml:space="preserve">  Premium conversion rate</t>
  </si>
  <si>
    <t>Freemium SaaS benchmark; held flat across all years</t>
  </si>
  <si>
    <t xml:space="preserve">  Annual student churn rate</t>
  </si>
  <si>
    <t>One app cycle per student; offset by new cohort each year</t>
  </si>
  <si>
    <t xml:space="preserve">  Premium price ($/yr)</t>
  </si>
  <si>
    <t>$4.99/mo; validated price point</t>
  </si>
  <si>
    <t xml:space="preserve">  Universities Y1</t>
  </si>
  <si>
    <t>TAMU + 2 DFW schools; manageable for 2-person team</t>
  </si>
  <si>
    <t xml:space="preserve">  Universities Y2</t>
  </si>
  <si>
    <t>Expand to top Texas pre-med schools</t>
  </si>
  <si>
    <t xml:space="preserve">  Universities Y3</t>
  </si>
  <si>
    <t>Regional: TX, OK, LA, AR</t>
  </si>
  <si>
    <t xml:space="preserve">  Universities Y4</t>
  </si>
  <si>
    <t>National rollout via word-of-mouth and referral</t>
  </si>
  <si>
    <t xml:space="preserve">  Universities Y5</t>
  </si>
  <si>
    <t>~Half of 300 schools with active pre-med orgs nationally</t>
  </si>
  <si>
    <t xml:space="preserve">  Student reach rate per org (ambassador)</t>
  </si>
  <si>
    <t>Ambassador realistically reaches 1 in 4 active members</t>
  </si>
  <si>
    <t>ADVISOR DASHBOARD (launches Y4)</t>
  </si>
  <si>
    <t xml:space="preserve">  Advisor dashboard price ($/yr/office)</t>
  </si>
  <si>
    <t>Below comparable advising SaaS tools ($8-15K); entry pricing</t>
  </si>
  <si>
    <t xml:space="preserve">  Advisor dashboard close rate</t>
  </si>
  <si>
    <t>Warm intro via ambassador network required</t>
  </si>
  <si>
    <t xml:space="preserve">  Addressable university offices Y4</t>
  </si>
  <si>
    <t>Warm intros through ambassador relationships at 75 schools</t>
  </si>
  <si>
    <t xml:space="preserve">  Addressable university offices Y5</t>
  </si>
  <si>
    <t>Scales with national university footprint</t>
  </si>
  <si>
    <t>OPERATING COSTS</t>
  </si>
  <si>
    <t xml:space="preserve">  Y1 costs ($)</t>
  </si>
  <si>
    <t>Legal ($2.5K) + Apple Dev ($99) + Tools/infra ($1.6K) + Outreach/events ($1.5K)</t>
  </si>
  <si>
    <t xml:space="preserve">  Y2 costs ($)</t>
  </si>
  <si>
    <t>Tools/infra ($2.6K) + Influencer/outreach ($2.75K) + Paid ads ($5K) + events/misc ($2K)</t>
  </si>
  <si>
    <t xml:space="preserve">  Y3 costs ($)</t>
  </si>
  <si>
    <t>Tools/infra ($6.4K) + Ambassador/influencer ($5K) + Paid ads regional ($15K) + events/legal/misc ($6K)</t>
  </si>
  <si>
    <t xml:space="preserve">  Y4 costs ($)</t>
  </si>
  <si>
    <t>Tools/infra ($14K) + Dashboard build ($15K) + Ambassador ($8K) + Paid ads national ($30K) + events/legal ($9K)</t>
  </si>
  <si>
    <t xml:space="preserve">  Y5 costs ($)</t>
  </si>
  <si>
    <t>Tools/infra ($22K) + Ambassador ($12K) + Paid ads scale ($50K) + events/legal/misc ($14K)</t>
  </si>
  <si>
    <t>ClinicalHours — Clinic Revenue Build</t>
  </si>
  <si>
    <t>Metric</t>
  </si>
  <si>
    <t>Y1 (2025)</t>
  </si>
  <si>
    <t>Y2 (2026)</t>
  </si>
  <si>
    <t>Y3 (2027)</t>
  </si>
  <si>
    <t>Y4 (2028)</t>
  </si>
  <si>
    <t>Y5 (2029)</t>
  </si>
  <si>
    <t>ADDRESSABLE MARKET</t>
  </si>
  <si>
    <t xml:space="preserve">  Addressable clinic sites</t>
  </si>
  <si>
    <t xml:space="preserve">  Close rate</t>
  </si>
  <si>
    <t xml:space="preserve">  New clinic sites signed</t>
  </si>
  <si>
    <t xml:space="preserve">  Churned sites (prior cumulative × 10%)</t>
  </si>
  <si>
    <t xml:space="preserve">  Cumulative active clinic sites</t>
  </si>
  <si>
    <t>CLINIC REVENUE</t>
  </si>
  <si>
    <t xml:space="preserve">  Price per site ($/yr)</t>
  </si>
  <si>
    <t>Total Clinic Revenue ($)</t>
  </si>
  <si>
    <t>ClinicalHours — Student Revenue Build</t>
  </si>
  <si>
    <t>STUDENT FUNNEL</t>
  </si>
  <si>
    <t xml:space="preserve">  Universities in ambassador program</t>
  </si>
  <si>
    <t xml:space="preserve">  Students reached (univ × 70 members × 25% reach)</t>
  </si>
  <si>
    <t xml:space="preserve">  New premium subscribers (reached × 5% conversion)</t>
  </si>
  <si>
    <t xml:space="preserve">  Churned subscribers (prior cumulative × 60%)</t>
  </si>
  <si>
    <t xml:space="preserve">  Cumulative premium subscribers</t>
  </si>
  <si>
    <t xml:space="preserve">  Addressable university offices</t>
  </si>
  <si>
    <t xml:space="preserve">  New offices closed (× 15%)</t>
  </si>
  <si>
    <t xml:space="preserve">  Cumulative active university offices</t>
  </si>
  <si>
    <t>STUDENT + ADVISOR REVENUE</t>
  </si>
  <si>
    <t xml:space="preserve">  Student Premium Revenue ($)</t>
  </si>
  <si>
    <t xml:space="preserve">  Advisor Dashboard Revenue ($)</t>
  </si>
  <si>
    <t>Total Student-Side Revenue ($)</t>
  </si>
  <si>
    <t>ClinicalHours — 5-Year Financial Summary</t>
  </si>
  <si>
    <t>MARKET SIZING (for reference)</t>
  </si>
  <si>
    <t xml:space="preserve">  SOM (Texas Year 1)</t>
  </si>
  <si>
    <t>REVENUE</t>
  </si>
  <si>
    <t xml:space="preserve">  Clinic Revenue ($)</t>
  </si>
  <si>
    <t>TOTAL REVENUE ($)</t>
  </si>
  <si>
    <t>COSTS &amp; NET INCOME</t>
  </si>
  <si>
    <t xml:space="preserve">  Operating Costs ($)</t>
  </si>
  <si>
    <t>NET INCOME ($)</t>
  </si>
  <si>
    <t>KEY METRICS</t>
  </si>
  <si>
    <t xml:space="preserve">  Active Clinic Sites</t>
  </si>
  <si>
    <t xml:space="preserve">  Premium Student Subscribers</t>
  </si>
  <si>
    <t xml:space="preserve">  University Advising Offices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</si>
</sst>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5F5E5A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  <fill>
      <patternFill patternType="solid">
        <fgColor rgb="FFD3D1C7"/>
        <bgColor rgb="FFCCCCFF"/>
      </patternFill>
    </fill>
    <fill>
      <patternFill patternType="solid">
        <fgColor rgb="FF5F5E5A"/>
        <bgColor rgb="FF808080"/>
      </patternFill>
    </fill>
    <fill>
      <patternFill patternType="solid">
        <fgColor rgb="FFF1EFE8"/>
        <bgColor rgb="FFFFFFFF"/>
      </patternFill>
    </fill>
    <fill>
      <patternFill patternType="solid">
        <fgColor rgb="FFFFFFFF"/>
        <bgColor rgb="FFF1EFE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1C7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/>
    </xf>
    <xf numFmtId="0" fontId="6" fillId="5" borderId="1" xfId="0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right"/>
    </xf>
    <xf numFmtId="0" fontId="5" fillId="6" borderId="1" xfId="0" applyFont="1" applyFill="1" applyBorder="1" applyAlignment="1">
      <alignment horizontal="right"/>
    </xf>
    <xf numFmtId="165" fontId="5" fillId="5" borderId="1" xfId="0" applyNumberFormat="1" applyFont="1" applyFill="1" applyBorder="1" applyAlignment="1">
      <alignment horizontal="right"/>
    </xf>
    <xf numFmtId="165" fontId="5" fillId="6" borderId="1" xfId="0" applyNumberFormat="1" applyFont="1" applyFill="1" applyBorder="1" applyAlignment="1">
      <alignment horizontal="right"/>
    </xf>
    <xf numFmtId="0" fontId="0" fillId="5" borderId="1" xfId="0" applyFill="1" applyBorder="1"/>
    <xf numFmtId="1" fontId="4" fillId="5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165" fontId="4" fillId="0" borderId="1" xfId="0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 vertical="center"/>
    </xf>
    <xf numFmtId="0" fontId="0" fillId="0" borderId="2" xfId="0" applyBorder="1"/>
    <xf numFmtId="1" fontId="2" fillId="0" borderId="2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3" fillId="2" borderId="2" xfId="0" applyFont="1" applyFill="1" applyBorder="1" applyAlignment="1">
      <alignment horizontal="left" vertical="center"/>
    </xf>
    <xf numFmtId="164" fontId="3" fillId="2" borderId="2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/>
    </xf>
    <xf numFmtId="164" fontId="4" fillId="5" borderId="1" xfId="0" applyNumberFormat="1" applyFont="1" applyFill="1" applyBorder="1" applyAlignment="1">
      <alignment horizontal="right"/>
    </xf>
    <xf numFmtId="0" fontId="0" fillId="6" borderId="1" xfId="0" applyFill="1" applyBorder="1"/>
    <xf numFmtId="164" fontId="4" fillId="6" borderId="1" xfId="0" applyNumberFormat="1" applyFont="1" applyFill="1" applyBorder="1" applyAlignment="1">
      <alignment horizontal="right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right"/>
    </xf>
    <xf numFmtId="1" fontId="4" fillId="6" borderId="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1EF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1D9E75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showGridLines="0" zoomScaleNormal="100" workbookViewId="0">
      <selection sqref="A1:C1"/>
    </sheetView>
  </sheetViews>
  <sheetFormatPr defaultColWidth="8.6640625" defaultRowHeight="14.4" x14ac:dyDescent="0.3"/>
  <cols>
    <col min="1" max="1" width="44" customWidth="1"/>
    <col min="2" max="2" width="16" customWidth="1"/>
    <col min="3" max="3" width="58" customWidth="1"/>
  </cols>
  <sheetData>
    <row r="1" spans="1:3" ht="27.75" customHeight="1" x14ac:dyDescent="0.3">
      <c r="A1" s="32" t="s">
        <v>0</v>
      </c>
      <c r="B1" s="32"/>
      <c r="C1" s="32"/>
    </row>
    <row r="2" spans="1:3" ht="18" customHeight="1" x14ac:dyDescent="0.3">
      <c r="A2" s="1" t="s">
        <v>1</v>
      </c>
      <c r="B2" s="1" t="s">
        <v>2</v>
      </c>
      <c r="C2" s="1" t="s">
        <v>3</v>
      </c>
    </row>
    <row r="3" spans="1:3" ht="18" customHeight="1" x14ac:dyDescent="0.3">
      <c r="A3" s="33" t="s">
        <v>4</v>
      </c>
      <c r="B3" s="33"/>
      <c r="C3" s="33"/>
    </row>
    <row r="4" spans="1:3" ht="18" customHeight="1" x14ac:dyDescent="0.3">
      <c r="A4" s="2" t="s">
        <v>5</v>
      </c>
      <c r="B4" s="3">
        <v>24900000</v>
      </c>
      <c r="C4" s="4" t="s">
        <v>6</v>
      </c>
    </row>
    <row r="5" spans="1:3" ht="18" customHeight="1" x14ac:dyDescent="0.3">
      <c r="A5" s="5" t="s">
        <v>7</v>
      </c>
      <c r="B5" s="6">
        <v>4400000</v>
      </c>
      <c r="C5" s="7" t="s">
        <v>8</v>
      </c>
    </row>
    <row r="6" spans="1:3" ht="18" customHeight="1" x14ac:dyDescent="0.3">
      <c r="A6" s="2" t="s">
        <v>9</v>
      </c>
      <c r="B6" s="3">
        <v>619200</v>
      </c>
      <c r="C6" s="4" t="s">
        <v>10</v>
      </c>
    </row>
    <row r="7" spans="1:3" ht="18" customHeight="1" x14ac:dyDescent="0.3">
      <c r="A7" s="33" t="s">
        <v>11</v>
      </c>
      <c r="B7" s="33"/>
      <c r="C7" s="33"/>
    </row>
    <row r="8" spans="1:3" ht="18" customHeight="1" x14ac:dyDescent="0.3">
      <c r="A8" s="2" t="s">
        <v>12</v>
      </c>
      <c r="B8" s="8">
        <v>1250</v>
      </c>
      <c r="C8" s="4" t="s">
        <v>13</v>
      </c>
    </row>
    <row r="9" spans="1:3" ht="18" customHeight="1" x14ac:dyDescent="0.3">
      <c r="A9" s="5" t="s">
        <v>14</v>
      </c>
      <c r="B9" s="9">
        <v>17600</v>
      </c>
      <c r="C9" s="7" t="s">
        <v>15</v>
      </c>
    </row>
    <row r="10" spans="1:3" ht="18" customHeight="1" x14ac:dyDescent="0.3">
      <c r="A10" s="2" t="s">
        <v>16</v>
      </c>
      <c r="B10" s="10">
        <v>0.01</v>
      </c>
      <c r="C10" s="4" t="s">
        <v>17</v>
      </c>
    </row>
    <row r="11" spans="1:3" ht="18" customHeight="1" x14ac:dyDescent="0.3">
      <c r="A11" s="5" t="s">
        <v>18</v>
      </c>
      <c r="B11" s="11">
        <v>0.04</v>
      </c>
      <c r="C11" s="7" t="s">
        <v>19</v>
      </c>
    </row>
    <row r="12" spans="1:3" ht="18" customHeight="1" x14ac:dyDescent="0.3">
      <c r="A12" s="2" t="s">
        <v>20</v>
      </c>
      <c r="B12" s="10">
        <v>0.03</v>
      </c>
      <c r="C12" s="4" t="s">
        <v>21</v>
      </c>
    </row>
    <row r="13" spans="1:3" ht="18" customHeight="1" x14ac:dyDescent="0.3">
      <c r="A13" s="5" t="s">
        <v>22</v>
      </c>
      <c r="B13" s="11">
        <v>0.08</v>
      </c>
      <c r="C13" s="7" t="s">
        <v>23</v>
      </c>
    </row>
    <row r="14" spans="1:3" ht="18" customHeight="1" x14ac:dyDescent="0.3">
      <c r="A14" s="2" t="s">
        <v>24</v>
      </c>
      <c r="B14" s="10">
        <v>0.1</v>
      </c>
      <c r="C14" s="4" t="s">
        <v>25</v>
      </c>
    </row>
    <row r="15" spans="1:3" ht="18" customHeight="1" x14ac:dyDescent="0.3">
      <c r="A15" s="5" t="s">
        <v>26</v>
      </c>
      <c r="B15" s="11">
        <v>0.1</v>
      </c>
      <c r="C15" s="7" t="s">
        <v>27</v>
      </c>
    </row>
    <row r="16" spans="1:3" ht="18" customHeight="1" x14ac:dyDescent="0.3">
      <c r="A16" s="2" t="s">
        <v>28</v>
      </c>
      <c r="B16" s="3">
        <v>750</v>
      </c>
      <c r="C16" s="4" t="s">
        <v>29</v>
      </c>
    </row>
    <row r="17" spans="1:3" ht="18" customHeight="1" x14ac:dyDescent="0.3">
      <c r="A17" s="5" t="s">
        <v>30</v>
      </c>
      <c r="B17" s="6">
        <v>1000</v>
      </c>
      <c r="C17" s="7" t="s">
        <v>31</v>
      </c>
    </row>
    <row r="18" spans="1:3" ht="18" customHeight="1" x14ac:dyDescent="0.3">
      <c r="A18" s="2" t="s">
        <v>32</v>
      </c>
      <c r="B18" s="10">
        <v>0.6</v>
      </c>
      <c r="C18" s="4" t="s">
        <v>33</v>
      </c>
    </row>
    <row r="19" spans="1:3" ht="18" customHeight="1" x14ac:dyDescent="0.3">
      <c r="A19" s="33" t="s">
        <v>34</v>
      </c>
      <c r="B19" s="33"/>
      <c r="C19" s="33"/>
    </row>
    <row r="20" spans="1:3" ht="18" customHeight="1" x14ac:dyDescent="0.3">
      <c r="A20" s="2" t="s">
        <v>35</v>
      </c>
      <c r="B20" s="8">
        <v>54699</v>
      </c>
      <c r="C20" s="4" t="s">
        <v>36</v>
      </c>
    </row>
    <row r="21" spans="1:3" ht="18" customHeight="1" x14ac:dyDescent="0.3">
      <c r="A21" s="5" t="s">
        <v>37</v>
      </c>
      <c r="B21" s="9">
        <v>3.5</v>
      </c>
      <c r="C21" s="7" t="s">
        <v>38</v>
      </c>
    </row>
    <row r="22" spans="1:3" ht="18" customHeight="1" x14ac:dyDescent="0.3">
      <c r="A22" s="2" t="s">
        <v>39</v>
      </c>
      <c r="B22" s="8">
        <v>191000</v>
      </c>
      <c r="C22" s="4" t="s">
        <v>40</v>
      </c>
    </row>
    <row r="23" spans="1:3" ht="18" customHeight="1" x14ac:dyDescent="0.3">
      <c r="A23" s="5" t="s">
        <v>41</v>
      </c>
      <c r="B23" s="9">
        <v>950</v>
      </c>
      <c r="C23" s="7" t="s">
        <v>42</v>
      </c>
    </row>
    <row r="24" spans="1:3" ht="18" customHeight="1" x14ac:dyDescent="0.3">
      <c r="A24" s="2" t="s">
        <v>43</v>
      </c>
      <c r="B24" s="8">
        <v>2</v>
      </c>
      <c r="C24" s="4" t="s">
        <v>44</v>
      </c>
    </row>
    <row r="25" spans="1:3" ht="18" customHeight="1" x14ac:dyDescent="0.3">
      <c r="A25" s="5" t="s">
        <v>45</v>
      </c>
      <c r="B25" s="9">
        <v>70</v>
      </c>
      <c r="C25" s="7" t="s">
        <v>46</v>
      </c>
    </row>
    <row r="26" spans="1:3" ht="18" customHeight="1" x14ac:dyDescent="0.3">
      <c r="A26" s="2" t="s">
        <v>47</v>
      </c>
      <c r="B26" s="8">
        <v>133000</v>
      </c>
      <c r="C26" s="4" t="s">
        <v>48</v>
      </c>
    </row>
    <row r="27" spans="1:3" ht="18" customHeight="1" x14ac:dyDescent="0.3">
      <c r="A27" s="5" t="s">
        <v>49</v>
      </c>
      <c r="B27" s="11">
        <v>0.05</v>
      </c>
      <c r="C27" s="7" t="s">
        <v>50</v>
      </c>
    </row>
    <row r="28" spans="1:3" ht="18" customHeight="1" x14ac:dyDescent="0.3">
      <c r="A28" s="2" t="s">
        <v>51</v>
      </c>
      <c r="B28" s="10">
        <v>0.6</v>
      </c>
      <c r="C28" s="4" t="s">
        <v>52</v>
      </c>
    </row>
    <row r="29" spans="1:3" ht="18" customHeight="1" x14ac:dyDescent="0.3">
      <c r="A29" s="5" t="s">
        <v>53</v>
      </c>
      <c r="B29" s="6">
        <v>60</v>
      </c>
      <c r="C29" s="7" t="s">
        <v>54</v>
      </c>
    </row>
    <row r="30" spans="1:3" ht="18" customHeight="1" x14ac:dyDescent="0.3">
      <c r="A30" s="2" t="s">
        <v>55</v>
      </c>
      <c r="B30" s="8">
        <v>3</v>
      </c>
      <c r="C30" s="4" t="s">
        <v>56</v>
      </c>
    </row>
    <row r="31" spans="1:3" ht="18" customHeight="1" x14ac:dyDescent="0.3">
      <c r="A31" s="5" t="s">
        <v>57</v>
      </c>
      <c r="B31" s="9">
        <v>10</v>
      </c>
      <c r="C31" s="7" t="s">
        <v>58</v>
      </c>
    </row>
    <row r="32" spans="1:3" ht="18" customHeight="1" x14ac:dyDescent="0.3">
      <c r="A32" s="2" t="s">
        <v>59</v>
      </c>
      <c r="B32" s="8">
        <v>30</v>
      </c>
      <c r="C32" s="4" t="s">
        <v>60</v>
      </c>
    </row>
    <row r="33" spans="1:3" ht="18" customHeight="1" x14ac:dyDescent="0.3">
      <c r="A33" s="5" t="s">
        <v>61</v>
      </c>
      <c r="B33" s="9">
        <v>75</v>
      </c>
      <c r="C33" s="7" t="s">
        <v>62</v>
      </c>
    </row>
    <row r="34" spans="1:3" ht="18" customHeight="1" x14ac:dyDescent="0.3">
      <c r="A34" s="2" t="s">
        <v>63</v>
      </c>
      <c r="B34" s="8">
        <v>150</v>
      </c>
      <c r="C34" s="4" t="s">
        <v>64</v>
      </c>
    </row>
    <row r="35" spans="1:3" ht="18" customHeight="1" x14ac:dyDescent="0.3">
      <c r="A35" s="5" t="s">
        <v>65</v>
      </c>
      <c r="B35" s="11">
        <v>0.25</v>
      </c>
      <c r="C35" s="7" t="s">
        <v>66</v>
      </c>
    </row>
    <row r="36" spans="1:3" ht="18" customHeight="1" x14ac:dyDescent="0.3">
      <c r="A36" s="33" t="s">
        <v>67</v>
      </c>
      <c r="B36" s="33"/>
      <c r="C36" s="33"/>
    </row>
    <row r="37" spans="1:3" ht="18" customHeight="1" x14ac:dyDescent="0.3">
      <c r="A37" s="5" t="s">
        <v>68</v>
      </c>
      <c r="B37" s="6">
        <v>5000</v>
      </c>
      <c r="C37" s="7" t="s">
        <v>69</v>
      </c>
    </row>
    <row r="38" spans="1:3" ht="18" customHeight="1" x14ac:dyDescent="0.3">
      <c r="A38" s="2" t="s">
        <v>70</v>
      </c>
      <c r="B38" s="10">
        <v>0.15</v>
      </c>
      <c r="C38" s="4" t="s">
        <v>71</v>
      </c>
    </row>
    <row r="39" spans="1:3" ht="18" customHeight="1" x14ac:dyDescent="0.3">
      <c r="A39" s="5" t="s">
        <v>72</v>
      </c>
      <c r="B39" s="9">
        <v>20</v>
      </c>
      <c r="C39" s="7" t="s">
        <v>73</v>
      </c>
    </row>
    <row r="40" spans="1:3" ht="18" customHeight="1" x14ac:dyDescent="0.3">
      <c r="A40" s="2" t="s">
        <v>74</v>
      </c>
      <c r="B40" s="8">
        <v>60</v>
      </c>
      <c r="C40" s="4" t="s">
        <v>75</v>
      </c>
    </row>
    <row r="41" spans="1:3" ht="18" customHeight="1" x14ac:dyDescent="0.3">
      <c r="A41" s="33" t="s">
        <v>76</v>
      </c>
      <c r="B41" s="33"/>
      <c r="C41" s="33"/>
    </row>
    <row r="42" spans="1:3" ht="18" customHeight="1" x14ac:dyDescent="0.3">
      <c r="A42" s="2" t="s">
        <v>77</v>
      </c>
      <c r="B42" s="3">
        <v>5839</v>
      </c>
      <c r="C42" s="4" t="s">
        <v>78</v>
      </c>
    </row>
    <row r="43" spans="1:3" ht="18" customHeight="1" x14ac:dyDescent="0.3">
      <c r="A43" s="5" t="s">
        <v>79</v>
      </c>
      <c r="B43" s="6">
        <v>12350</v>
      </c>
      <c r="C43" s="7" t="s">
        <v>80</v>
      </c>
    </row>
    <row r="44" spans="1:3" ht="18" customHeight="1" x14ac:dyDescent="0.3">
      <c r="A44" s="2" t="s">
        <v>81</v>
      </c>
      <c r="B44" s="3">
        <v>32400</v>
      </c>
      <c r="C44" s="4" t="s">
        <v>82</v>
      </c>
    </row>
    <row r="45" spans="1:3" ht="18" customHeight="1" x14ac:dyDescent="0.3">
      <c r="A45" s="5" t="s">
        <v>83</v>
      </c>
      <c r="B45" s="6">
        <v>76000</v>
      </c>
      <c r="C45" s="7" t="s">
        <v>84</v>
      </c>
    </row>
    <row r="46" spans="1:3" ht="18" customHeight="1" x14ac:dyDescent="0.3">
      <c r="A46" s="2" t="s">
        <v>85</v>
      </c>
      <c r="B46" s="3">
        <v>98000</v>
      </c>
      <c r="C46" s="4" t="s">
        <v>86</v>
      </c>
    </row>
  </sheetData>
  <mergeCells count="6">
    <mergeCell ref="A41:C41"/>
    <mergeCell ref="A1:C1"/>
    <mergeCell ref="A3:C3"/>
    <mergeCell ref="A7:C7"/>
    <mergeCell ref="A19:C19"/>
    <mergeCell ref="A36:C3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42" customWidth="1"/>
    <col min="2" max="2" width="3" customWidth="1"/>
    <col min="3" max="7" width="13" customWidth="1"/>
  </cols>
  <sheetData>
    <row r="1" spans="1:7" ht="27.75" customHeight="1" x14ac:dyDescent="0.3">
      <c r="A1" s="32" t="s">
        <v>87</v>
      </c>
      <c r="B1" s="32"/>
      <c r="C1" s="32"/>
      <c r="D1" s="32"/>
      <c r="E1" s="32"/>
      <c r="F1" s="32"/>
      <c r="G1" s="32"/>
    </row>
    <row r="2" spans="1:7" ht="19.5" customHeight="1" x14ac:dyDescent="0.3">
      <c r="A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</row>
    <row r="3" spans="1:7" ht="18" customHeight="1" x14ac:dyDescent="0.3">
      <c r="A3" s="33" t="s">
        <v>94</v>
      </c>
      <c r="B3" s="33"/>
      <c r="C3" s="33"/>
      <c r="D3" s="33"/>
      <c r="E3" s="33"/>
      <c r="F3" s="33"/>
      <c r="G3" s="33"/>
    </row>
    <row r="4" spans="1:7" ht="18" customHeight="1" x14ac:dyDescent="0.3">
      <c r="A4" s="2" t="s">
        <v>95</v>
      </c>
      <c r="B4" s="12"/>
      <c r="C4" s="13">
        <f>Assumptions!B8</f>
        <v>1250</v>
      </c>
      <c r="D4" s="13">
        <f>Assumptions!B8</f>
        <v>1250</v>
      </c>
      <c r="E4" s="13">
        <f>Assumptions!B9</f>
        <v>17600</v>
      </c>
      <c r="F4" s="13">
        <f>Assumptions!B9</f>
        <v>17600</v>
      </c>
      <c r="G4" s="13">
        <f>Assumptions!B9</f>
        <v>17600</v>
      </c>
    </row>
    <row r="5" spans="1:7" ht="18" customHeight="1" x14ac:dyDescent="0.3">
      <c r="A5" s="14" t="s">
        <v>96</v>
      </c>
      <c r="B5" s="15"/>
      <c r="C5" s="16">
        <f>Assumptions!B10</f>
        <v>0.01</v>
      </c>
      <c r="D5" s="16">
        <f>Assumptions!B11</f>
        <v>0.04</v>
      </c>
      <c r="E5" s="16">
        <f>Assumptions!B12</f>
        <v>0.03</v>
      </c>
      <c r="F5" s="16">
        <f>Assumptions!B13</f>
        <v>0.08</v>
      </c>
      <c r="G5" s="16">
        <f>Assumptions!B14</f>
        <v>0.1</v>
      </c>
    </row>
    <row r="6" spans="1:7" ht="18" customHeight="1" x14ac:dyDescent="0.3">
      <c r="A6" s="14" t="s">
        <v>97</v>
      </c>
      <c r="B6" s="15"/>
      <c r="C6" s="17">
        <f>ROUND(C4*C5,0)</f>
        <v>13</v>
      </c>
      <c r="D6" s="17">
        <f>ROUND(D4*D5,0)</f>
        <v>50</v>
      </c>
      <c r="E6" s="17">
        <f>ROUND(E4*E5,0)</f>
        <v>528</v>
      </c>
      <c r="F6" s="17">
        <f>ROUND(F4*F5,0)</f>
        <v>1408</v>
      </c>
      <c r="G6" s="17">
        <f>ROUND(G4*G5,0)</f>
        <v>1760</v>
      </c>
    </row>
    <row r="7" spans="1:7" ht="18" customHeight="1" x14ac:dyDescent="0.3">
      <c r="A7" s="14" t="s">
        <v>98</v>
      </c>
      <c r="B7" s="15"/>
      <c r="C7" s="17">
        <f>0</f>
        <v>0</v>
      </c>
      <c r="D7" s="17">
        <f>ROUND(C8*Assumptions!B15,0)</f>
        <v>1</v>
      </c>
      <c r="E7" s="17">
        <f>ROUND(D8*Assumptions!B15,0)</f>
        <v>6</v>
      </c>
      <c r="F7" s="17">
        <f>ROUND(E8*Assumptions!B15,0)</f>
        <v>58</v>
      </c>
      <c r="G7" s="17">
        <f>ROUND(F8*Assumptions!B15,0)</f>
        <v>193</v>
      </c>
    </row>
    <row r="8" spans="1:7" ht="18" customHeight="1" x14ac:dyDescent="0.3">
      <c r="A8" s="18" t="s">
        <v>99</v>
      </c>
      <c r="B8" s="19"/>
      <c r="C8" s="20">
        <f>C6-C7</f>
        <v>13</v>
      </c>
      <c r="D8" s="20">
        <f>C8+D6-D7</f>
        <v>62</v>
      </c>
      <c r="E8" s="20">
        <f>D8+E6-E7</f>
        <v>584</v>
      </c>
      <c r="F8" s="20">
        <f>E8+F6-F7</f>
        <v>1934</v>
      </c>
      <c r="G8" s="20">
        <f>F8+G6-G7</f>
        <v>3501</v>
      </c>
    </row>
    <row r="10" spans="1:7" ht="18" customHeight="1" x14ac:dyDescent="0.3">
      <c r="A10" s="33" t="s">
        <v>100</v>
      </c>
      <c r="B10" s="33"/>
      <c r="C10" s="33"/>
      <c r="D10" s="33"/>
      <c r="E10" s="33"/>
      <c r="F10" s="33"/>
      <c r="G10" s="33"/>
    </row>
    <row r="11" spans="1:7" ht="18" customHeight="1" x14ac:dyDescent="0.3">
      <c r="A11" s="14" t="s">
        <v>101</v>
      </c>
      <c r="B11" s="15"/>
      <c r="C11" s="21">
        <f>Assumptions!B16</f>
        <v>750</v>
      </c>
      <c r="D11" s="21">
        <f>Assumptions!B16</f>
        <v>750</v>
      </c>
      <c r="E11" s="21">
        <f>Assumptions!B17</f>
        <v>1000</v>
      </c>
      <c r="F11" s="21">
        <f>Assumptions!B17</f>
        <v>1000</v>
      </c>
      <c r="G11" s="21">
        <f>Assumptions!B17</f>
        <v>1000</v>
      </c>
    </row>
    <row r="12" spans="1:7" ht="19.5" customHeight="1" x14ac:dyDescent="0.3">
      <c r="A12" s="22" t="s">
        <v>102</v>
      </c>
      <c r="B12" s="19"/>
      <c r="C12" s="23">
        <f>C8*C11</f>
        <v>9750</v>
      </c>
      <c r="D12" s="23">
        <f>D8*D11</f>
        <v>46500</v>
      </c>
      <c r="E12" s="23">
        <f>E8*E11</f>
        <v>584000</v>
      </c>
      <c r="F12" s="23">
        <f>F8*F11</f>
        <v>1934000</v>
      </c>
      <c r="G12" s="23">
        <f>G8*G11</f>
        <v>3501000</v>
      </c>
    </row>
  </sheetData>
  <mergeCells count="3">
    <mergeCell ref="A1:G1"/>
    <mergeCell ref="A3:G3"/>
    <mergeCell ref="A10:G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50" customWidth="1"/>
    <col min="2" max="2" width="3" customWidth="1"/>
    <col min="3" max="7" width="13" customWidth="1"/>
  </cols>
  <sheetData>
    <row r="1" spans="1:7" ht="27.75" customHeight="1" x14ac:dyDescent="0.3">
      <c r="A1" s="32" t="s">
        <v>103</v>
      </c>
      <c r="B1" s="32"/>
      <c r="C1" s="32"/>
      <c r="D1" s="32"/>
      <c r="E1" s="32"/>
      <c r="F1" s="32"/>
      <c r="G1" s="32"/>
    </row>
    <row r="2" spans="1:7" ht="19.5" customHeight="1" x14ac:dyDescent="0.3">
      <c r="A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</row>
    <row r="3" spans="1:7" ht="18" customHeight="1" x14ac:dyDescent="0.3">
      <c r="A3" s="33" t="s">
        <v>104</v>
      </c>
      <c r="B3" s="33"/>
      <c r="C3" s="33"/>
      <c r="D3" s="33"/>
      <c r="E3" s="33"/>
      <c r="F3" s="33"/>
      <c r="G3" s="33"/>
    </row>
    <row r="4" spans="1:7" ht="18" customHeight="1" x14ac:dyDescent="0.3">
      <c r="A4" s="14" t="s">
        <v>105</v>
      </c>
      <c r="B4" s="15"/>
      <c r="C4" s="17">
        <f>Assumptions!B30</f>
        <v>3</v>
      </c>
      <c r="D4" s="17">
        <f>Assumptions!B31</f>
        <v>10</v>
      </c>
      <c r="E4" s="17">
        <f>Assumptions!B32</f>
        <v>30</v>
      </c>
      <c r="F4" s="17">
        <f>Assumptions!B33</f>
        <v>75</v>
      </c>
      <c r="G4" s="17">
        <f>Assumptions!B34</f>
        <v>150</v>
      </c>
    </row>
    <row r="5" spans="1:7" ht="18" customHeight="1" x14ac:dyDescent="0.3">
      <c r="A5" s="14" t="s">
        <v>106</v>
      </c>
      <c r="B5" s="15"/>
      <c r="C5" s="17">
        <f>ROUND(C4*Assumptions!B25*Assumptions!B35,0)</f>
        <v>53</v>
      </c>
      <c r="D5" s="17">
        <f>ROUND(D4*Assumptions!B25*Assumptions!B35,0)</f>
        <v>175</v>
      </c>
      <c r="E5" s="17">
        <f>ROUND(E4*Assumptions!B25*Assumptions!B35,0)</f>
        <v>525</v>
      </c>
      <c r="F5" s="17">
        <f>ROUND(F4*Assumptions!B25*Assumptions!B35,0)</f>
        <v>1313</v>
      </c>
      <c r="G5" s="17">
        <f>ROUND(G4*Assumptions!B25*Assumptions!B35,0)</f>
        <v>2625</v>
      </c>
    </row>
    <row r="6" spans="1:7" ht="18" customHeight="1" x14ac:dyDescent="0.3">
      <c r="A6" s="14" t="s">
        <v>107</v>
      </c>
      <c r="B6" s="15"/>
      <c r="C6" s="17">
        <f>ROUND(C5*Assumptions!B27,0)</f>
        <v>3</v>
      </c>
      <c r="D6" s="17">
        <f>ROUND(D5*Assumptions!B27,0)</f>
        <v>9</v>
      </c>
      <c r="E6" s="17">
        <f>ROUND(E5*Assumptions!B27,0)</f>
        <v>26</v>
      </c>
      <c r="F6" s="17">
        <f>ROUND(F5*Assumptions!B27,0)</f>
        <v>66</v>
      </c>
      <c r="G6" s="17">
        <f>ROUND(G5*Assumptions!B27,0)</f>
        <v>131</v>
      </c>
    </row>
    <row r="7" spans="1:7" ht="18" customHeight="1" x14ac:dyDescent="0.3">
      <c r="A7" s="14" t="s">
        <v>108</v>
      </c>
      <c r="B7" s="15"/>
      <c r="C7" s="17">
        <f>0</f>
        <v>0</v>
      </c>
      <c r="D7" s="17">
        <f>ROUND(C8*Assumptions!B28,0)</f>
        <v>2</v>
      </c>
      <c r="E7" s="17">
        <f>ROUND(D8*Assumptions!B28,0)</f>
        <v>6</v>
      </c>
      <c r="F7" s="17">
        <f>ROUND(E8*Assumptions!B28,0)</f>
        <v>18</v>
      </c>
      <c r="G7" s="17">
        <f>ROUND(F8*Assumptions!B28,0)</f>
        <v>47</v>
      </c>
    </row>
    <row r="8" spans="1:7" ht="18" customHeight="1" x14ac:dyDescent="0.3">
      <c r="A8" s="18" t="s">
        <v>109</v>
      </c>
      <c r="B8" s="19"/>
      <c r="C8" s="20">
        <f>C6-C7</f>
        <v>3</v>
      </c>
      <c r="D8" s="20">
        <f>C8+D6-D7</f>
        <v>10</v>
      </c>
      <c r="E8" s="20">
        <f>D8+E6-E7</f>
        <v>30</v>
      </c>
      <c r="F8" s="20">
        <f>E8+F6-F7</f>
        <v>78</v>
      </c>
      <c r="G8" s="20">
        <f>F8+G6-G7</f>
        <v>162</v>
      </c>
    </row>
    <row r="10" spans="1:7" ht="18" customHeight="1" x14ac:dyDescent="0.3">
      <c r="A10" s="33" t="s">
        <v>67</v>
      </c>
      <c r="B10" s="33"/>
      <c r="C10" s="33"/>
      <c r="D10" s="33"/>
      <c r="E10" s="33"/>
      <c r="F10" s="33"/>
      <c r="G10" s="33"/>
    </row>
    <row r="11" spans="1:7" ht="18" customHeight="1" x14ac:dyDescent="0.3">
      <c r="A11" s="14" t="s">
        <v>110</v>
      </c>
      <c r="B11" s="15"/>
      <c r="C11" s="17">
        <f>0</f>
        <v>0</v>
      </c>
      <c r="D11" s="17">
        <f>0</f>
        <v>0</v>
      </c>
      <c r="E11" s="17">
        <f>0</f>
        <v>0</v>
      </c>
      <c r="F11" s="17">
        <f>Assumptions!B39</f>
        <v>20</v>
      </c>
      <c r="G11" s="17">
        <f>Assumptions!B40</f>
        <v>60</v>
      </c>
    </row>
    <row r="12" spans="1:7" ht="18" customHeight="1" x14ac:dyDescent="0.3">
      <c r="A12" s="14" t="s">
        <v>111</v>
      </c>
      <c r="B12" s="15"/>
      <c r="C12" s="17">
        <f>ROUND(C11*Assumptions!B38,0)</f>
        <v>0</v>
      </c>
      <c r="D12" s="17">
        <f>ROUND(D11*Assumptions!B38,0)</f>
        <v>0</v>
      </c>
      <c r="E12" s="17">
        <f>ROUND(E11*Assumptions!B38,0)</f>
        <v>0</v>
      </c>
      <c r="F12" s="17">
        <f>ROUND(F11*Assumptions!B38,0)</f>
        <v>3</v>
      </c>
      <c r="G12" s="17">
        <f>ROUND(G11*Assumptions!B38,0)</f>
        <v>9</v>
      </c>
    </row>
    <row r="13" spans="1:7" ht="18" customHeight="1" x14ac:dyDescent="0.3">
      <c r="A13" s="18" t="s">
        <v>112</v>
      </c>
      <c r="B13" s="19"/>
      <c r="C13" s="20">
        <f>C12</f>
        <v>0</v>
      </c>
      <c r="D13" s="20">
        <f>C13+D12</f>
        <v>0</v>
      </c>
      <c r="E13" s="20">
        <f>D13+E12</f>
        <v>0</v>
      </c>
      <c r="F13" s="20">
        <f>E13+F12</f>
        <v>3</v>
      </c>
      <c r="G13" s="20">
        <f>F13+G12</f>
        <v>12</v>
      </c>
    </row>
    <row r="15" spans="1:7" ht="18" customHeight="1" x14ac:dyDescent="0.3">
      <c r="A15" s="33" t="s">
        <v>113</v>
      </c>
      <c r="B15" s="33"/>
      <c r="C15" s="33"/>
      <c r="D15" s="33"/>
      <c r="E15" s="33"/>
      <c r="F15" s="33"/>
      <c r="G15" s="33"/>
    </row>
    <row r="16" spans="1:7" ht="18" customHeight="1" x14ac:dyDescent="0.3">
      <c r="A16" s="14" t="s">
        <v>53</v>
      </c>
      <c r="B16" s="15"/>
      <c r="C16" s="21">
        <f>Assumptions!B29</f>
        <v>60</v>
      </c>
      <c r="D16" s="21">
        <f>Assumptions!B29</f>
        <v>60</v>
      </c>
      <c r="E16" s="21">
        <f>Assumptions!B29</f>
        <v>60</v>
      </c>
      <c r="F16" s="21">
        <f>Assumptions!B29</f>
        <v>60</v>
      </c>
      <c r="G16" s="21">
        <f>Assumptions!B29</f>
        <v>60</v>
      </c>
    </row>
    <row r="17" spans="1:7" ht="18" customHeight="1" x14ac:dyDescent="0.3">
      <c r="A17" s="24" t="s">
        <v>114</v>
      </c>
      <c r="B17" s="15"/>
      <c r="C17" s="25">
        <f>C8*C16</f>
        <v>180</v>
      </c>
      <c r="D17" s="25">
        <f>D8*D16</f>
        <v>600</v>
      </c>
      <c r="E17" s="25">
        <f>E8*E16</f>
        <v>1800</v>
      </c>
      <c r="F17" s="25">
        <f>F8*F16</f>
        <v>4680</v>
      </c>
      <c r="G17" s="25">
        <f>G8*G16</f>
        <v>9720</v>
      </c>
    </row>
    <row r="18" spans="1:7" ht="18" customHeight="1" x14ac:dyDescent="0.3">
      <c r="A18" s="24" t="s">
        <v>115</v>
      </c>
      <c r="B18" s="15"/>
      <c r="C18" s="25">
        <f>C13*Assumptions!B37</f>
        <v>0</v>
      </c>
      <c r="D18" s="25">
        <f>D13*Assumptions!B37</f>
        <v>0</v>
      </c>
      <c r="E18" s="25">
        <f>E13*Assumptions!B37</f>
        <v>0</v>
      </c>
      <c r="F18" s="25">
        <f>F13*Assumptions!B37</f>
        <v>15000</v>
      </c>
      <c r="G18" s="25">
        <f>G13*Assumptions!B37</f>
        <v>60000</v>
      </c>
    </row>
    <row r="19" spans="1:7" ht="19.5" customHeight="1" x14ac:dyDescent="0.3">
      <c r="A19" s="22" t="s">
        <v>116</v>
      </c>
      <c r="B19" s="19"/>
      <c r="C19" s="23">
        <f>C17+C18</f>
        <v>180</v>
      </c>
      <c r="D19" s="23">
        <f>D17+D18</f>
        <v>600</v>
      </c>
      <c r="E19" s="23">
        <f>E17+E18</f>
        <v>1800</v>
      </c>
      <c r="F19" s="23">
        <f>F17+F18</f>
        <v>19680</v>
      </c>
      <c r="G19" s="23">
        <f>G17+G18</f>
        <v>69720</v>
      </c>
    </row>
  </sheetData>
  <mergeCells count="4">
    <mergeCell ref="A1:G1"/>
    <mergeCell ref="A3:G3"/>
    <mergeCell ref="A10:G10"/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showGridLines="0" tabSelected="1" topLeftCell="A6" zoomScaleNormal="100" workbookViewId="0">
      <selection activeCell="G17" sqref="G17"/>
    </sheetView>
  </sheetViews>
  <sheetFormatPr defaultColWidth="8.6640625" defaultRowHeight="14.4" x14ac:dyDescent="0.3"/>
  <cols>
    <col min="1" max="1" width="38" customWidth="1"/>
    <col min="2" max="2" width="3" customWidth="1"/>
    <col min="3" max="7" width="13" customWidth="1"/>
  </cols>
  <sheetData>
    <row r="1" spans="1:7" ht="27.75" customHeight="1" x14ac:dyDescent="0.3">
      <c r="A1" s="32" t="s">
        <v>117</v>
      </c>
      <c r="B1" s="32"/>
      <c r="C1" s="32"/>
      <c r="D1" s="32"/>
      <c r="E1" s="32"/>
      <c r="F1" s="32"/>
      <c r="G1" s="32"/>
    </row>
    <row r="2" spans="1:7" ht="19.5" customHeight="1" x14ac:dyDescent="0.3">
      <c r="A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</row>
    <row r="3" spans="1:7" ht="18" customHeight="1" x14ac:dyDescent="0.3">
      <c r="A3" s="33" t="s">
        <v>118</v>
      </c>
      <c r="B3" s="33"/>
      <c r="C3" s="33"/>
      <c r="D3" s="33"/>
      <c r="E3" s="33"/>
      <c r="F3" s="33"/>
      <c r="G3" s="33"/>
    </row>
    <row r="4" spans="1:7" ht="18" customHeight="1" x14ac:dyDescent="0.3">
      <c r="A4" s="2" t="s">
        <v>5</v>
      </c>
      <c r="B4" s="12"/>
      <c r="C4" s="26">
        <f>Assumptions!B4</f>
        <v>24900000</v>
      </c>
      <c r="D4" s="12"/>
      <c r="E4" s="12"/>
      <c r="F4" s="12"/>
      <c r="G4" s="12"/>
    </row>
    <row r="5" spans="1:7" ht="18" customHeight="1" x14ac:dyDescent="0.3">
      <c r="A5" s="5" t="s">
        <v>7</v>
      </c>
      <c r="B5" s="27"/>
      <c r="C5" s="28">
        <f>Assumptions!B5</f>
        <v>4400000</v>
      </c>
      <c r="D5" s="27"/>
      <c r="E5" s="27"/>
      <c r="F5" s="27"/>
      <c r="G5" s="27"/>
    </row>
    <row r="6" spans="1:7" ht="18" customHeight="1" x14ac:dyDescent="0.3">
      <c r="A6" s="2" t="s">
        <v>119</v>
      </c>
      <c r="B6" s="12"/>
      <c r="C6" s="26">
        <f>Assumptions!B6</f>
        <v>619200</v>
      </c>
      <c r="D6" s="12"/>
      <c r="E6" s="12"/>
      <c r="F6" s="12"/>
      <c r="G6" s="12"/>
    </row>
    <row r="8" spans="1:7" ht="18" customHeight="1" x14ac:dyDescent="0.3">
      <c r="A8" s="33" t="s">
        <v>120</v>
      </c>
      <c r="B8" s="33"/>
      <c r="C8" s="33"/>
      <c r="D8" s="33"/>
      <c r="E8" s="33"/>
      <c r="F8" s="33"/>
      <c r="G8" s="33"/>
    </row>
    <row r="9" spans="1:7" ht="18" customHeight="1" x14ac:dyDescent="0.3">
      <c r="A9" s="5" t="s">
        <v>121</v>
      </c>
      <c r="B9" s="27"/>
      <c r="C9" s="28">
        <f>'Clinic Revenue'!C12</f>
        <v>9750</v>
      </c>
      <c r="D9" s="28">
        <f>'Clinic Revenue'!D12</f>
        <v>46500</v>
      </c>
      <c r="E9" s="28">
        <f>'Clinic Revenue'!E12</f>
        <v>584000</v>
      </c>
      <c r="F9" s="28">
        <f>'Clinic Revenue'!F12</f>
        <v>1934000</v>
      </c>
      <c r="G9" s="28">
        <f>'Clinic Revenue'!G12</f>
        <v>3501000</v>
      </c>
    </row>
    <row r="10" spans="1:7" ht="18" customHeight="1" x14ac:dyDescent="0.3">
      <c r="A10" s="2" t="s">
        <v>114</v>
      </c>
      <c r="B10" s="12"/>
      <c r="C10" s="26">
        <f>'Student Revenue'!C17</f>
        <v>180</v>
      </c>
      <c r="D10" s="26">
        <f>'Student Revenue'!D17</f>
        <v>600</v>
      </c>
      <c r="E10" s="26">
        <f>'Student Revenue'!E17</f>
        <v>1800</v>
      </c>
      <c r="F10" s="26">
        <f>'Student Revenue'!F17</f>
        <v>4680</v>
      </c>
      <c r="G10" s="26">
        <f>'Student Revenue'!G17</f>
        <v>9720</v>
      </c>
    </row>
    <row r="11" spans="1:7" ht="18" customHeight="1" x14ac:dyDescent="0.3">
      <c r="A11" s="5" t="s">
        <v>115</v>
      </c>
      <c r="B11" s="27"/>
      <c r="C11" s="28">
        <f>'Student Revenue'!C18</f>
        <v>0</v>
      </c>
      <c r="D11" s="28">
        <f>'Student Revenue'!D18</f>
        <v>0</v>
      </c>
      <c r="E11" s="28">
        <f>'Student Revenue'!E18</f>
        <v>0</v>
      </c>
      <c r="F11" s="28">
        <f>'Student Revenue'!F18</f>
        <v>15000</v>
      </c>
      <c r="G11" s="28">
        <f>'Student Revenue'!G18</f>
        <v>60000</v>
      </c>
    </row>
    <row r="12" spans="1:7" ht="19.5" customHeight="1" x14ac:dyDescent="0.3">
      <c r="A12" s="22" t="s">
        <v>122</v>
      </c>
      <c r="B12" s="19"/>
      <c r="C12" s="23">
        <f>C9+C10+C11</f>
        <v>9930</v>
      </c>
      <c r="D12" s="23">
        <f>D9+D10+D11</f>
        <v>47100</v>
      </c>
      <c r="E12" s="23">
        <f>E9+E10+E11</f>
        <v>585800</v>
      </c>
      <c r="F12" s="23">
        <f>F9+F10+F11</f>
        <v>1953680</v>
      </c>
      <c r="G12" s="23">
        <f>G9+G10+G11</f>
        <v>3570720</v>
      </c>
    </row>
    <row r="14" spans="1:7" ht="18" customHeight="1" x14ac:dyDescent="0.3">
      <c r="A14" s="33" t="s">
        <v>123</v>
      </c>
      <c r="B14" s="33"/>
      <c r="C14" s="33"/>
      <c r="D14" s="33"/>
      <c r="E14" s="33"/>
      <c r="F14" s="33"/>
      <c r="G14" s="33"/>
    </row>
    <row r="15" spans="1:7" ht="18" customHeight="1" x14ac:dyDescent="0.3">
      <c r="A15" s="2" t="s">
        <v>124</v>
      </c>
      <c r="B15" s="12"/>
      <c r="C15" s="26">
        <f>Assumptions!B42</f>
        <v>5839</v>
      </c>
      <c r="D15" s="26">
        <f>Assumptions!B43</f>
        <v>12350</v>
      </c>
      <c r="E15" s="26">
        <f>Assumptions!B44</f>
        <v>32400</v>
      </c>
      <c r="F15" s="26">
        <f>Assumptions!B45</f>
        <v>76000</v>
      </c>
      <c r="G15" s="26">
        <f>Assumptions!B46</f>
        <v>98000</v>
      </c>
    </row>
    <row r="16" spans="1:7" ht="19.5" customHeight="1" x14ac:dyDescent="0.3">
      <c r="A16" s="29" t="s">
        <v>125</v>
      </c>
      <c r="B16" s="19"/>
      <c r="C16" s="30">
        <f>C12-C15</f>
        <v>4091</v>
      </c>
      <c r="D16" s="30">
        <f>D12-D15</f>
        <v>34750</v>
      </c>
      <c r="E16" s="30">
        <f>E12-E15</f>
        <v>553400</v>
      </c>
      <c r="F16" s="30">
        <f>F12-F15</f>
        <v>1877680</v>
      </c>
      <c r="G16" s="30">
        <f>G12-G15</f>
        <v>3472720</v>
      </c>
    </row>
    <row r="18" spans="1:7" ht="18" customHeight="1" x14ac:dyDescent="0.3">
      <c r="A18" s="33" t="s">
        <v>126</v>
      </c>
      <c r="B18" s="33"/>
      <c r="C18" s="33"/>
      <c r="D18" s="33"/>
      <c r="E18" s="33"/>
      <c r="F18" s="33"/>
      <c r="G18" s="33"/>
    </row>
    <row r="19" spans="1:7" ht="18" customHeight="1" x14ac:dyDescent="0.3">
      <c r="A19" s="5" t="s">
        <v>127</v>
      </c>
      <c r="B19" s="27"/>
      <c r="C19" s="31">
        <f>'Clinic Revenue'!C8</f>
        <v>13</v>
      </c>
      <c r="D19" s="31">
        <f>'Clinic Revenue'!D8</f>
        <v>62</v>
      </c>
      <c r="E19" s="31">
        <f>'Clinic Revenue'!E8</f>
        <v>584</v>
      </c>
      <c r="F19" s="31">
        <f>'Clinic Revenue'!F8</f>
        <v>1934</v>
      </c>
      <c r="G19" s="31">
        <f>'Clinic Revenue'!G8</f>
        <v>3501</v>
      </c>
    </row>
    <row r="20" spans="1:7" ht="18" customHeight="1" x14ac:dyDescent="0.3">
      <c r="A20" s="2" t="s">
        <v>128</v>
      </c>
      <c r="B20" s="12"/>
      <c r="C20" s="13">
        <f>'Student Revenue'!C8</f>
        <v>3</v>
      </c>
      <c r="D20" s="13">
        <f>'Student Revenue'!D8</f>
        <v>10</v>
      </c>
      <c r="E20" s="13">
        <f>'Student Revenue'!E8</f>
        <v>30</v>
      </c>
      <c r="F20" s="13">
        <f>'Student Revenue'!F8</f>
        <v>78</v>
      </c>
      <c r="G20" s="13">
        <f>'Student Revenue'!G8</f>
        <v>162</v>
      </c>
    </row>
    <row r="21" spans="1:7" ht="18" customHeight="1" x14ac:dyDescent="0.3">
      <c r="A21" s="5" t="s">
        <v>129</v>
      </c>
      <c r="B21" s="27"/>
      <c r="C21" s="31">
        <f>'Student Revenue'!C13</f>
        <v>0</v>
      </c>
      <c r="D21" s="31">
        <f>'Student Revenue'!D13</f>
        <v>0</v>
      </c>
      <c r="E21" s="31">
        <f>'Student Revenue'!E13</f>
        <v>0</v>
      </c>
      <c r="F21" s="31">
        <f>'Student Revenue'!F13</f>
        <v>3</v>
      </c>
      <c r="G21" s="31">
        <f>'Student Revenue'!G13</f>
        <v>12</v>
      </c>
    </row>
  </sheetData>
  <mergeCells count="5">
    <mergeCell ref="A1:G1"/>
    <mergeCell ref="A3:G3"/>
    <mergeCell ref="A8:G8"/>
    <mergeCell ref="A14:G14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6e17e5-7ed6-465f-90f6-7f7810cd886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1683B02B47C140820D63A554D53A6D" ma:contentTypeVersion="5" ma:contentTypeDescription="Create a new document." ma:contentTypeScope="" ma:versionID="80d3de2bbe4eb935fb57c1055b3ccaf4">
  <xsd:schema xmlns:xsd="http://www.w3.org/2001/XMLSchema" xmlns:xs="http://www.w3.org/2001/XMLSchema" xmlns:p="http://schemas.microsoft.com/office/2006/metadata/properties" xmlns:ns3="e06e17e5-7ed6-465f-90f6-7f7810cd8869" targetNamespace="http://schemas.microsoft.com/office/2006/metadata/properties" ma:root="true" ma:fieldsID="abbc4520d3b448b2970c481f51f55784" ns3:_="">
    <xsd:import namespace="e06e17e5-7ed6-465f-90f6-7f7810cd886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e17e5-7ed6-465f-90f6-7f7810cd886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0E8326-C8C2-4C3E-AF49-E5A20EF9B756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e06e17e5-7ed6-465f-90f6-7f7810cd8869"/>
  </ds:schemaRefs>
</ds:datastoreItem>
</file>

<file path=customXml/itemProps2.xml><?xml version="1.0" encoding="utf-8"?>
<ds:datastoreItem xmlns:ds="http://schemas.openxmlformats.org/officeDocument/2006/customXml" ds:itemID="{AB392920-9E30-4CC4-B5C3-C7E9A3FD94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CE160A-82EC-4534-A589-15AFECDFB9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6e17e5-7ed6-465f-90f6-7f7810cd88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Clinic Revenue</vt:lpstr>
      <vt:lpstr>Student Revenue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Kanodia, Shivam</cp:lastModifiedBy>
  <cp:revision>0</cp:revision>
  <dcterms:created xsi:type="dcterms:W3CDTF">2026-03-29T18:10:23Z</dcterms:created>
  <dcterms:modified xsi:type="dcterms:W3CDTF">2026-04-24T22:23:24Z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0x0101008C1683B02B47C140820D63A554D53A6D</vt:lpwstr>
  </property>
</Properties>
</file>