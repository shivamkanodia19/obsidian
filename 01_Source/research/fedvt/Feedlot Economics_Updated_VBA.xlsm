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4.xml" ContentType="application/vnd.openxmlformats-officedocument.drawing+xml"/>
  <Override PartName="/xl/slicers/slicer4.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https://agnettamu0-my.sharepoint.com/personal/adeolu_adekunle_agnet_tamu_edu/Documents/Adeolu Joseph/Programming/"/>
    </mc:Choice>
  </mc:AlternateContent>
  <xr:revisionPtr revIDLastSave="183" documentId="13_ncr:1_{7CB16D85-CA89-449D-BB73-CC06FB37FF3B}" xr6:coauthVersionLast="47" xr6:coauthVersionMax="47" xr10:uidLastSave="{D0596464-A700-4CD2-B4E7-25C2C73765D5}"/>
  <bookViews>
    <workbookView xWindow="-28920" yWindow="1815" windowWidth="29040" windowHeight="15720" tabRatio="686" activeTab="9" xr2:uid="{02A98AA7-3AE4-47D0-B069-FE0C821E218A}"/>
  </bookViews>
  <sheets>
    <sheet name="Input" sheetId="1" r:id="rId1"/>
    <sheet name="Details" sheetId="2" state="hidden" r:id="rId2"/>
    <sheet name="Breakeven Analysis" sheetId="3" r:id="rId3"/>
    <sheet name="Summary" sheetId="4" state="hidden" r:id="rId4"/>
    <sheet name="Tables" sheetId="5" state="hidden" r:id="rId5"/>
    <sheet name="Pivot Tables" sheetId="6" r:id="rId6"/>
    <sheet name="Production" sheetId="7" r:id="rId7"/>
    <sheet name="Income" sheetId="8" r:id="rId8"/>
    <sheet name="Operations" sheetId="9" r:id="rId9"/>
    <sheet name="Investment" sheetId="10" r:id="rId10"/>
  </sheets>
  <definedNames>
    <definedName name="ALL">#REF!</definedName>
    <definedName name="print_all">#REF!</definedName>
    <definedName name="PrintSummaryFeedlot">#REF!</definedName>
    <definedName name="Slicer_Year">#N/A</definedName>
  </definedNames>
  <calcPr calcId="191028"/>
  <pivotCaches>
    <pivotCache cacheId="8"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99" i="1" l="1"/>
  <c r="B31" i="1"/>
  <c r="B10" i="7"/>
  <c r="B10" i="8" s="1"/>
  <c r="B10" i="9"/>
  <c r="CN5" i="6"/>
  <c r="CN6" i="6"/>
  <c r="CN7" i="6"/>
  <c r="CN8" i="6"/>
  <c r="CN9" i="6"/>
  <c r="CN4" i="6"/>
  <c r="CM5" i="6"/>
  <c r="CM6" i="6"/>
  <c r="CM7" i="6"/>
  <c r="CM8" i="6"/>
  <c r="CM9" i="6"/>
  <c r="CM4" i="6"/>
  <c r="B33" i="1"/>
  <c r="B32" i="1"/>
  <c r="B30" i="1"/>
  <c r="E100" i="1"/>
  <c r="D20" i="1"/>
  <c r="D14" i="1"/>
  <c r="D22" i="1"/>
  <c r="D17" i="1"/>
  <c r="D15" i="1"/>
  <c r="D18" i="1"/>
  <c r="D16" i="1"/>
  <c r="E221" i="2"/>
  <c r="E64" i="2"/>
  <c r="R8" i="6"/>
  <c r="R7" i="6"/>
  <c r="V4" i="6"/>
  <c r="W4" i="6" s="1"/>
  <c r="T107" i="5"/>
  <c r="U107" i="5"/>
  <c r="V107" i="5"/>
  <c r="W107" i="5"/>
  <c r="X107" i="5"/>
  <c r="Y107" i="5"/>
  <c r="Z107" i="5"/>
  <c r="S107" i="5"/>
  <c r="R15" i="5"/>
  <c r="R16" i="5"/>
  <c r="R17" i="5"/>
  <c r="R18" i="5"/>
  <c r="R19" i="5"/>
  <c r="R20" i="5"/>
  <c r="R21" i="5"/>
  <c r="R22" i="5"/>
  <c r="R23" i="5"/>
  <c r="R24" i="5"/>
  <c r="R25" i="5"/>
  <c r="R26" i="5"/>
  <c r="R27" i="5"/>
  <c r="R28" i="5"/>
  <c r="R29" i="5"/>
  <c r="R30" i="5"/>
  <c r="R31" i="5"/>
  <c r="R32" i="5"/>
  <c r="R33" i="5"/>
  <c r="R34" i="5"/>
  <c r="R35" i="5"/>
  <c r="R36" i="5"/>
  <c r="R37" i="5"/>
  <c r="R38" i="5"/>
  <c r="R39" i="5"/>
  <c r="R40" i="5"/>
  <c r="R41" i="5"/>
  <c r="R42" i="5"/>
  <c r="R43" i="5"/>
  <c r="R44" i="5"/>
  <c r="R45" i="5"/>
  <c r="R46" i="5"/>
  <c r="R47" i="5"/>
  <c r="R48" i="5"/>
  <c r="R49" i="5"/>
  <c r="R50" i="5"/>
  <c r="R51" i="5"/>
  <c r="R52" i="5"/>
  <c r="R53" i="5"/>
  <c r="R54" i="5"/>
  <c r="R55" i="5"/>
  <c r="R56" i="5"/>
  <c r="R57" i="5"/>
  <c r="R58" i="5"/>
  <c r="R59" i="5"/>
  <c r="R60" i="5"/>
  <c r="R61" i="5"/>
  <c r="R62" i="5"/>
  <c r="R63" i="5"/>
  <c r="R64" i="5"/>
  <c r="R65" i="5"/>
  <c r="R66" i="5"/>
  <c r="R67" i="5"/>
  <c r="R68" i="5"/>
  <c r="R69" i="5"/>
  <c r="R70" i="5"/>
  <c r="R71" i="5"/>
  <c r="R72" i="5"/>
  <c r="R73" i="5"/>
  <c r="R74" i="5"/>
  <c r="R75" i="5"/>
  <c r="R76" i="5"/>
  <c r="R77" i="5"/>
  <c r="R78" i="5"/>
  <c r="R79" i="5"/>
  <c r="R80" i="5"/>
  <c r="R81" i="5"/>
  <c r="R82" i="5"/>
  <c r="R83" i="5"/>
  <c r="R84" i="5"/>
  <c r="R85" i="5"/>
  <c r="R86" i="5"/>
  <c r="R87" i="5"/>
  <c r="R88" i="5"/>
  <c r="R89" i="5"/>
  <c r="R90" i="5"/>
  <c r="R91" i="5"/>
  <c r="R92" i="5"/>
  <c r="R93" i="5"/>
  <c r="R94" i="5"/>
  <c r="R95" i="5"/>
  <c r="R96" i="5"/>
  <c r="R97" i="5"/>
  <c r="R98" i="5"/>
  <c r="R99" i="5"/>
  <c r="R100" i="5"/>
  <c r="R101" i="5"/>
  <c r="R102" i="5"/>
  <c r="R103" i="5"/>
  <c r="R14" i="5"/>
  <c r="T13" i="5"/>
  <c r="U13" i="5"/>
  <c r="V13" i="5"/>
  <c r="W13" i="5"/>
  <c r="X13" i="5"/>
  <c r="Y13" i="5"/>
  <c r="Z13" i="5"/>
  <c r="S13" i="5"/>
  <c r="I13" i="4"/>
  <c r="J13" i="4" s="1"/>
  <c r="K13" i="4" s="1"/>
  <c r="BE5" i="6"/>
  <c r="BE6" i="6"/>
  <c r="BE7" i="6"/>
  <c r="BE8" i="6"/>
  <c r="BE9" i="6"/>
  <c r="BE10" i="6"/>
  <c r="BE11" i="6"/>
  <c r="BE12" i="6"/>
  <c r="BE13" i="6"/>
  <c r="BE14" i="6"/>
  <c r="BE15" i="6"/>
  <c r="BE16" i="6"/>
  <c r="BE17" i="6"/>
  <c r="BE18" i="6"/>
  <c r="BE19" i="6"/>
  <c r="BE20" i="6"/>
  <c r="BE21" i="6"/>
  <c r="BE22" i="6"/>
  <c r="BE23" i="6"/>
  <c r="BE24" i="6"/>
  <c r="BE25" i="6"/>
  <c r="BE26" i="6"/>
  <c r="BE27" i="6"/>
  <c r="BE4" i="6"/>
  <c r="BD6" i="6"/>
  <c r="BD7" i="6"/>
  <c r="BD8" i="6"/>
  <c r="BD9" i="6"/>
  <c r="BD10" i="6"/>
  <c r="BD11" i="6"/>
  <c r="BD12" i="6"/>
  <c r="BD13" i="6"/>
  <c r="BD14" i="6"/>
  <c r="BD15" i="6"/>
  <c r="BD16" i="6"/>
  <c r="BD17" i="6"/>
  <c r="BD18" i="6"/>
  <c r="BD19" i="6"/>
  <c r="BD20" i="6"/>
  <c r="BD21" i="6"/>
  <c r="BD22" i="6"/>
  <c r="BD23" i="6"/>
  <c r="BD24" i="6"/>
  <c r="BD25" i="6"/>
  <c r="BD26" i="6"/>
  <c r="BD27" i="6"/>
  <c r="BD5" i="6"/>
  <c r="BD4" i="6"/>
  <c r="AR4" i="6"/>
  <c r="AR3" i="6"/>
  <c r="AQ4" i="6"/>
  <c r="AQ3" i="6"/>
  <c r="AI4" i="6"/>
  <c r="AD4" i="6"/>
  <c r="O5" i="6"/>
  <c r="O6" i="6"/>
  <c r="O7" i="6"/>
  <c r="O8" i="6"/>
  <c r="O9" i="6"/>
  <c r="O4" i="6"/>
  <c r="N5" i="6"/>
  <c r="N6" i="6"/>
  <c r="N7" i="6"/>
  <c r="N8" i="6"/>
  <c r="N9" i="6"/>
  <c r="N4" i="6"/>
  <c r="K5" i="6"/>
  <c r="K6" i="6"/>
  <c r="K7" i="6"/>
  <c r="K8" i="6"/>
  <c r="K9" i="6"/>
  <c r="K4" i="6"/>
  <c r="L13" i="4" l="1"/>
  <c r="M7" i="6"/>
  <c r="M6" i="6"/>
  <c r="M5" i="6"/>
  <c r="M8" i="6"/>
  <c r="M9" i="6"/>
  <c r="M4" i="6"/>
  <c r="L6" i="6"/>
  <c r="L5" i="6"/>
  <c r="L7" i="6"/>
  <c r="L8" i="6"/>
  <c r="L4" i="6"/>
  <c r="L9" i="6"/>
  <c r="L7" i="5" l="1"/>
  <c r="L5" i="5"/>
  <c r="L4" i="5"/>
  <c r="L3" i="5"/>
  <c r="L2" i="5"/>
  <c r="H55" i="4"/>
  <c r="H48" i="4"/>
  <c r="F48" i="4"/>
  <c r="A43" i="4"/>
  <c r="E71" i="3"/>
  <c r="E68" i="3"/>
  <c r="E67" i="3"/>
  <c r="E64" i="3"/>
  <c r="E61" i="3"/>
  <c r="E60" i="3"/>
  <c r="E57" i="3"/>
  <c r="E54" i="3"/>
  <c r="E53" i="3"/>
  <c r="E50" i="3"/>
  <c r="E47" i="3"/>
  <c r="E46" i="3"/>
  <c r="E42" i="3"/>
  <c r="E38" i="3"/>
  <c r="E34" i="3"/>
  <c r="E30" i="3"/>
  <c r="E26" i="3"/>
  <c r="E21" i="3"/>
  <c r="E16" i="3"/>
  <c r="E11" i="3"/>
  <c r="E6" i="3"/>
  <c r="E220" i="2"/>
  <c r="F37" i="4" s="1"/>
  <c r="E219" i="2"/>
  <c r="E214" i="2"/>
  <c r="E206" i="2"/>
  <c r="E196" i="2"/>
  <c r="E194" i="2"/>
  <c r="E195" i="2" s="1"/>
  <c r="E212" i="2" s="1"/>
  <c r="E189" i="2"/>
  <c r="G177" i="2"/>
  <c r="G176" i="2"/>
  <c r="G178" i="2" s="1"/>
  <c r="G172" i="2"/>
  <c r="G171" i="2"/>
  <c r="G170" i="2"/>
  <c r="G169" i="2"/>
  <c r="G168" i="2"/>
  <c r="G167" i="2"/>
  <c r="G166" i="2"/>
  <c r="G165" i="2"/>
  <c r="G164" i="2"/>
  <c r="E155" i="2"/>
  <c r="E149" i="2"/>
  <c r="E140" i="2"/>
  <c r="E135" i="2"/>
  <c r="E128" i="2"/>
  <c r="E123" i="2"/>
  <c r="E117" i="2"/>
  <c r="E109" i="2"/>
  <c r="E108" i="2"/>
  <c r="E105" i="2"/>
  <c r="E104" i="2"/>
  <c r="E106" i="2" s="1"/>
  <c r="E103" i="2"/>
  <c r="E98" i="2"/>
  <c r="E93" i="2"/>
  <c r="E92" i="2"/>
  <c r="E85" i="2"/>
  <c r="E84" i="2"/>
  <c r="E83" i="2"/>
  <c r="E78" i="2"/>
  <c r="E77" i="2"/>
  <c r="E73" i="2"/>
  <c r="E72" i="2"/>
  <c r="E71" i="2"/>
  <c r="E70" i="2"/>
  <c r="E69" i="2"/>
  <c r="E68" i="2"/>
  <c r="F15" i="4"/>
  <c r="E63" i="2"/>
  <c r="E62" i="2"/>
  <c r="E55" i="2"/>
  <c r="E54" i="2"/>
  <c r="E50" i="2"/>
  <c r="E52" i="2" s="1"/>
  <c r="E49" i="2"/>
  <c r="E47" i="2"/>
  <c r="E46" i="2"/>
  <c r="E39" i="2"/>
  <c r="E37" i="2"/>
  <c r="E32" i="2"/>
  <c r="E33" i="2" s="1"/>
  <c r="E30" i="2"/>
  <c r="E29" i="2"/>
  <c r="E25" i="2"/>
  <c r="E23" i="2"/>
  <c r="E18" i="2"/>
  <c r="E16" i="2"/>
  <c r="B7" i="2"/>
  <c r="B6" i="2"/>
  <c r="B5" i="2"/>
  <c r="D117" i="1"/>
  <c r="E82" i="1"/>
  <c r="E110" i="2" s="1"/>
  <c r="E111" i="2" s="1"/>
  <c r="D23" i="1"/>
  <c r="E113" i="2" l="1"/>
  <c r="F19" i="4" s="1"/>
  <c r="E147" i="2" s="1"/>
  <c r="G33" i="1"/>
  <c r="E36" i="2" s="1"/>
  <c r="E40" i="2" s="1"/>
  <c r="F11" i="4" s="1"/>
  <c r="N33" i="10"/>
  <c r="E48" i="3"/>
  <c r="F43" i="4" s="1"/>
  <c r="F10" i="4"/>
  <c r="E57" i="2"/>
  <c r="E59" i="2" s="1"/>
  <c r="E62" i="3"/>
  <c r="E69" i="3"/>
  <c r="E55" i="3"/>
  <c r="E156" i="2"/>
  <c r="E22" i="2"/>
  <c r="G30" i="1"/>
  <c r="E10" i="3"/>
  <c r="E187" i="2"/>
  <c r="D123" i="1"/>
  <c r="E116" i="2" s="1"/>
  <c r="E74" i="2"/>
  <c r="G173" i="2"/>
  <c r="G180" i="2" s="1"/>
  <c r="E188" i="2"/>
  <c r="E204" i="2" s="1"/>
  <c r="B8" i="2"/>
  <c r="E211" i="2"/>
  <c r="G31" i="1"/>
  <c r="E15" i="2"/>
  <c r="E25" i="3" l="1"/>
  <c r="E15" i="3"/>
  <c r="E20" i="3"/>
  <c r="E19" i="2"/>
  <c r="F8" i="4" s="1"/>
  <c r="E26" i="2"/>
  <c r="F9" i="4" s="1"/>
  <c r="E203" i="2"/>
  <c r="E145" i="2"/>
  <c r="E153" i="2"/>
  <c r="F14" i="4"/>
  <c r="F12" i="4" l="1"/>
  <c r="E5" i="3" s="1"/>
  <c r="E7" i="3" s="1"/>
  <c r="F56" i="4" s="1"/>
  <c r="D13" i="1"/>
  <c r="E86" i="2" s="1"/>
  <c r="E87" i="2" s="1"/>
  <c r="E119" i="2" l="1"/>
  <c r="E120" i="2" s="1"/>
  <c r="A3" i="4"/>
  <c r="E79" i="2"/>
  <c r="E80" i="2" s="1"/>
  <c r="E89" i="2" s="1"/>
  <c r="F16" i="4" s="1"/>
  <c r="H16" i="4" s="1"/>
  <c r="E197" i="2"/>
  <c r="E198" i="2" s="1"/>
  <c r="F30" i="4" s="1"/>
  <c r="H30" i="4" s="1"/>
  <c r="I30" i="4" s="1"/>
  <c r="J30" i="4" s="1"/>
  <c r="K30" i="4" s="1"/>
  <c r="L30" i="4" s="1"/>
  <c r="H11" i="4"/>
  <c r="I11" i="4" s="1"/>
  <c r="E190" i="2"/>
  <c r="E191" i="2" s="1"/>
  <c r="F29" i="4" s="1"/>
  <c r="H29" i="4" s="1"/>
  <c r="I29" i="4" s="1"/>
  <c r="J29" i="4" s="1"/>
  <c r="E136" i="2"/>
  <c r="E137" i="2" s="1"/>
  <c r="F21" i="4" s="1"/>
  <c r="H21" i="4" s="1"/>
  <c r="D13" i="5" s="1"/>
  <c r="H37" i="4"/>
  <c r="E129" i="2"/>
  <c r="E130" i="2" s="1"/>
  <c r="H15" i="4"/>
  <c r="H14" i="4"/>
  <c r="E207" i="2"/>
  <c r="E208" i="2" s="1"/>
  <c r="F32" i="4" s="1"/>
  <c r="H32" i="4" s="1"/>
  <c r="BJ4" i="6"/>
  <c r="B9" i="2"/>
  <c r="BK4" i="6"/>
  <c r="E94" i="2"/>
  <c r="H8" i="4"/>
  <c r="H10" i="4"/>
  <c r="E125" i="2"/>
  <c r="H19" i="4"/>
  <c r="E122" i="2"/>
  <c r="H43" i="4"/>
  <c r="E215" i="2"/>
  <c r="E216" i="2" s="1"/>
  <c r="F33" i="4" s="1"/>
  <c r="H33" i="4" s="1"/>
  <c r="I33" i="4" s="1"/>
  <c r="J33" i="4" s="1"/>
  <c r="K33" i="4" s="1"/>
  <c r="L33" i="4" s="1"/>
  <c r="E141" i="2"/>
  <c r="E142" i="2" s="1"/>
  <c r="F22" i="4" s="1"/>
  <c r="H22" i="4" s="1"/>
  <c r="E99" i="2"/>
  <c r="E100" i="2" s="1"/>
  <c r="F18" i="4" s="1"/>
  <c r="H18" i="4" s="1"/>
  <c r="H9" i="4"/>
  <c r="E126" i="2" l="1"/>
  <c r="E132" i="2" s="1"/>
  <c r="F20" i="4" s="1"/>
  <c r="H20" i="4" s="1"/>
  <c r="I20" i="4" s="1"/>
  <c r="D5" i="5"/>
  <c r="V17" i="5" s="1"/>
  <c r="M59" i="5" s="1"/>
  <c r="D35" i="5"/>
  <c r="V47" i="5" s="1"/>
  <c r="M215" i="5" s="1"/>
  <c r="D17" i="5"/>
  <c r="U29" i="5" s="1"/>
  <c r="M53" i="5" s="1"/>
  <c r="I21" i="4"/>
  <c r="J21" i="4" s="1"/>
  <c r="I37" i="4"/>
  <c r="D19" i="5"/>
  <c r="I14" i="4"/>
  <c r="D6" i="5"/>
  <c r="I15" i="4"/>
  <c r="D7" i="5"/>
  <c r="Y25" i="5"/>
  <c r="M121" i="5" s="1"/>
  <c r="Z25" i="5"/>
  <c r="M139" i="5" s="1"/>
  <c r="U25" i="5"/>
  <c r="M49" i="5" s="1"/>
  <c r="V25" i="5"/>
  <c r="M67" i="5" s="1"/>
  <c r="W25" i="5"/>
  <c r="M85" i="5" s="1"/>
  <c r="X25" i="5"/>
  <c r="M103" i="5" s="1"/>
  <c r="S25" i="5"/>
  <c r="T25" i="5"/>
  <c r="M31" i="5" s="1"/>
  <c r="E13" i="5"/>
  <c r="I22" i="4"/>
  <c r="D14" i="5"/>
  <c r="I19" i="4"/>
  <c r="D11" i="5"/>
  <c r="I32" i="4"/>
  <c r="D18" i="5"/>
  <c r="H34" i="4"/>
  <c r="I34" i="4" s="1"/>
  <c r="J34" i="4" s="1"/>
  <c r="K34" i="4" s="1"/>
  <c r="L34" i="4" s="1"/>
  <c r="X108" i="5"/>
  <c r="N96" i="5" s="1"/>
  <c r="I43" i="4"/>
  <c r="T108" i="5"/>
  <c r="N24" i="5" s="1"/>
  <c r="V108" i="5"/>
  <c r="N60" i="5" s="1"/>
  <c r="S108" i="5"/>
  <c r="U108" i="5"/>
  <c r="N42" i="5" s="1"/>
  <c r="W108" i="5"/>
  <c r="N78" i="5" s="1"/>
  <c r="Z108" i="5"/>
  <c r="N132" i="5" s="1"/>
  <c r="Y108" i="5"/>
  <c r="N114" i="5" s="1"/>
  <c r="F34" i="4"/>
  <c r="J11" i="4"/>
  <c r="D23" i="5"/>
  <c r="D3" i="5"/>
  <c r="I9" i="4"/>
  <c r="I10" i="4"/>
  <c r="D4" i="5"/>
  <c r="D53" i="5"/>
  <c r="K29" i="4"/>
  <c r="I18" i="4"/>
  <c r="D10" i="5"/>
  <c r="D2" i="5"/>
  <c r="I8" i="4"/>
  <c r="H12" i="4"/>
  <c r="I16" i="4"/>
  <c r="D8" i="5"/>
  <c r="E95" i="2"/>
  <c r="F17" i="4" s="1"/>
  <c r="W47" i="5" l="1"/>
  <c r="M233" i="5" s="1"/>
  <c r="Y47" i="5"/>
  <c r="M269" i="5" s="1"/>
  <c r="S47" i="5"/>
  <c r="M161" i="5" s="1"/>
  <c r="X47" i="5"/>
  <c r="M251" i="5" s="1"/>
  <c r="Z29" i="5"/>
  <c r="M143" i="5" s="1"/>
  <c r="W29" i="5"/>
  <c r="M89" i="5" s="1"/>
  <c r="S17" i="5"/>
  <c r="M5" i="5" s="1"/>
  <c r="S29" i="5"/>
  <c r="M17" i="5" s="1"/>
  <c r="E35" i="5"/>
  <c r="W17" i="5"/>
  <c r="M77" i="5" s="1"/>
  <c r="X29" i="5"/>
  <c r="M107" i="5" s="1"/>
  <c r="D12" i="5"/>
  <c r="X24" i="5" s="1"/>
  <c r="M102" i="5" s="1"/>
  <c r="U47" i="5"/>
  <c r="M197" i="5" s="1"/>
  <c r="T29" i="5"/>
  <c r="M35" i="5" s="1"/>
  <c r="T47" i="5"/>
  <c r="M179" i="5" s="1"/>
  <c r="Z47" i="5"/>
  <c r="M287" i="5" s="1"/>
  <c r="E17" i="5"/>
  <c r="Y29" i="5"/>
  <c r="M125" i="5" s="1"/>
  <c r="T17" i="5"/>
  <c r="M23" i="5" s="1"/>
  <c r="Z17" i="5"/>
  <c r="M131" i="5" s="1"/>
  <c r="Y17" i="5"/>
  <c r="M113" i="5" s="1"/>
  <c r="U17" i="5"/>
  <c r="M41" i="5" s="1"/>
  <c r="E5" i="5"/>
  <c r="X17" i="5"/>
  <c r="M95" i="5" s="1"/>
  <c r="V29" i="5"/>
  <c r="M71" i="5" s="1"/>
  <c r="D31" i="5"/>
  <c r="V43" i="5" s="1"/>
  <c r="M211" i="5" s="1"/>
  <c r="Y31" i="5"/>
  <c r="M127" i="5" s="1"/>
  <c r="U31" i="5"/>
  <c r="M55" i="5" s="1"/>
  <c r="X31" i="5"/>
  <c r="M109" i="5" s="1"/>
  <c r="Z31" i="5"/>
  <c r="M145" i="5" s="1"/>
  <c r="W31" i="5"/>
  <c r="M91" i="5" s="1"/>
  <c r="V31" i="5"/>
  <c r="M73" i="5" s="1"/>
  <c r="E19" i="5"/>
  <c r="T31" i="5"/>
  <c r="M37" i="5" s="1"/>
  <c r="S31" i="5"/>
  <c r="D37" i="5"/>
  <c r="J37" i="4"/>
  <c r="T19" i="5"/>
  <c r="M25" i="5" s="1"/>
  <c r="U19" i="5"/>
  <c r="M43" i="5" s="1"/>
  <c r="V19" i="5"/>
  <c r="M61" i="5" s="1"/>
  <c r="S19" i="5"/>
  <c r="X19" i="5"/>
  <c r="M97" i="5" s="1"/>
  <c r="Z19" i="5"/>
  <c r="M133" i="5" s="1"/>
  <c r="E7" i="5"/>
  <c r="W19" i="5"/>
  <c r="M79" i="5" s="1"/>
  <c r="Y19" i="5"/>
  <c r="M115" i="5" s="1"/>
  <c r="D25" i="5"/>
  <c r="J15" i="4"/>
  <c r="E6" i="5"/>
  <c r="U18" i="5"/>
  <c r="M42" i="5" s="1"/>
  <c r="Z18" i="5"/>
  <c r="M132" i="5" s="1"/>
  <c r="X18" i="5"/>
  <c r="M96" i="5" s="1"/>
  <c r="W18" i="5"/>
  <c r="M78" i="5" s="1"/>
  <c r="T18" i="5"/>
  <c r="M24" i="5" s="1"/>
  <c r="S18" i="5"/>
  <c r="Y18" i="5"/>
  <c r="M114" i="5" s="1"/>
  <c r="V18" i="5"/>
  <c r="M60" i="5" s="1"/>
  <c r="J14" i="4"/>
  <c r="D24" i="5"/>
  <c r="U14" i="5"/>
  <c r="M38" i="5" s="1"/>
  <c r="S14" i="5"/>
  <c r="E2" i="5"/>
  <c r="Z14" i="5"/>
  <c r="M128" i="5" s="1"/>
  <c r="Y14" i="5"/>
  <c r="M110" i="5" s="1"/>
  <c r="V14" i="5"/>
  <c r="M56" i="5" s="1"/>
  <c r="X14" i="5"/>
  <c r="M92" i="5" s="1"/>
  <c r="T14" i="5"/>
  <c r="M20" i="5" s="1"/>
  <c r="W14" i="5"/>
  <c r="M74" i="5" s="1"/>
  <c r="H17" i="4"/>
  <c r="E154" i="2"/>
  <c r="E158" i="2" s="1"/>
  <c r="F25" i="4" s="1"/>
  <c r="H25" i="4" s="1"/>
  <c r="E146" i="2"/>
  <c r="E150" i="2" s="1"/>
  <c r="F23" i="4" s="1"/>
  <c r="H23" i="4" s="1"/>
  <c r="J18" i="4"/>
  <c r="D28" i="5"/>
  <c r="J43" i="4"/>
  <c r="T109" i="5"/>
  <c r="N168" i="5" s="1"/>
  <c r="X109" i="5"/>
  <c r="N240" i="5" s="1"/>
  <c r="Y109" i="5"/>
  <c r="N258" i="5" s="1"/>
  <c r="U109" i="5"/>
  <c r="N186" i="5" s="1"/>
  <c r="W109" i="5"/>
  <c r="N222" i="5" s="1"/>
  <c r="S109" i="5"/>
  <c r="Z109" i="5"/>
  <c r="N276" i="5" s="1"/>
  <c r="V109" i="5"/>
  <c r="N204" i="5" s="1"/>
  <c r="Y26" i="5"/>
  <c r="M122" i="5" s="1"/>
  <c r="T26" i="5"/>
  <c r="M32" i="5" s="1"/>
  <c r="W26" i="5"/>
  <c r="M86" i="5" s="1"/>
  <c r="Z26" i="5"/>
  <c r="M140" i="5" s="1"/>
  <c r="X26" i="5"/>
  <c r="M104" i="5" s="1"/>
  <c r="E14" i="5"/>
  <c r="U26" i="5"/>
  <c r="M50" i="5" s="1"/>
  <c r="S26" i="5"/>
  <c r="V26" i="5"/>
  <c r="M68" i="5" s="1"/>
  <c r="D71" i="5"/>
  <c r="L29" i="4"/>
  <c r="D89" i="5" s="1"/>
  <c r="S65" i="5"/>
  <c r="U65" i="5"/>
  <c r="M341" i="5" s="1"/>
  <c r="Y65" i="5"/>
  <c r="M413" i="5" s="1"/>
  <c r="E53" i="5"/>
  <c r="V65" i="5"/>
  <c r="M359" i="5" s="1"/>
  <c r="X65" i="5"/>
  <c r="M395" i="5" s="1"/>
  <c r="W65" i="5"/>
  <c r="M377" i="5" s="1"/>
  <c r="T65" i="5"/>
  <c r="M323" i="5" s="1"/>
  <c r="Z65" i="5"/>
  <c r="M431" i="5" s="1"/>
  <c r="Y20" i="5"/>
  <c r="M116" i="5" s="1"/>
  <c r="T20" i="5"/>
  <c r="M26" i="5" s="1"/>
  <c r="X20" i="5"/>
  <c r="M98" i="5" s="1"/>
  <c r="V20" i="5"/>
  <c r="M62" i="5" s="1"/>
  <c r="E8" i="5"/>
  <c r="S20" i="5"/>
  <c r="U20" i="5"/>
  <c r="M44" i="5" s="1"/>
  <c r="Z20" i="5"/>
  <c r="M134" i="5" s="1"/>
  <c r="W20" i="5"/>
  <c r="M80" i="5" s="1"/>
  <c r="J16" i="4"/>
  <c r="D26" i="5"/>
  <c r="Z30" i="5"/>
  <c r="M144" i="5" s="1"/>
  <c r="E18" i="5"/>
  <c r="U30" i="5"/>
  <c r="M54" i="5" s="1"/>
  <c r="X30" i="5"/>
  <c r="M108" i="5" s="1"/>
  <c r="Y30" i="5"/>
  <c r="M126" i="5" s="1"/>
  <c r="W30" i="5"/>
  <c r="M90" i="5" s="1"/>
  <c r="S30" i="5"/>
  <c r="V30" i="5"/>
  <c r="M72" i="5" s="1"/>
  <c r="T30" i="5"/>
  <c r="M36" i="5" s="1"/>
  <c r="J19" i="4"/>
  <c r="D29" i="5"/>
  <c r="D30" i="5"/>
  <c r="J20" i="4"/>
  <c r="J22" i="4"/>
  <c r="D32" i="5"/>
  <c r="S16" i="5"/>
  <c r="U16" i="5"/>
  <c r="M40" i="5" s="1"/>
  <c r="V16" i="5"/>
  <c r="M58" i="5" s="1"/>
  <c r="E4" i="5"/>
  <c r="T16" i="5"/>
  <c r="M22" i="5" s="1"/>
  <c r="W16" i="5"/>
  <c r="M76" i="5" s="1"/>
  <c r="Y16" i="5"/>
  <c r="M112" i="5" s="1"/>
  <c r="X16" i="5"/>
  <c r="M94" i="5" s="1"/>
  <c r="Z16" i="5"/>
  <c r="M130" i="5" s="1"/>
  <c r="Y35" i="5"/>
  <c r="M257" i="5" s="1"/>
  <c r="E23" i="5"/>
  <c r="S35" i="5"/>
  <c r="Z35" i="5"/>
  <c r="M275" i="5" s="1"/>
  <c r="U35" i="5"/>
  <c r="M185" i="5" s="1"/>
  <c r="W35" i="5"/>
  <c r="M221" i="5" s="1"/>
  <c r="V35" i="5"/>
  <c r="M203" i="5" s="1"/>
  <c r="X35" i="5"/>
  <c r="M239" i="5" s="1"/>
  <c r="T35" i="5"/>
  <c r="M167" i="5" s="1"/>
  <c r="D22" i="5"/>
  <c r="J10" i="4"/>
  <c r="K11" i="4"/>
  <c r="D41" i="5"/>
  <c r="Z23" i="5"/>
  <c r="M137" i="5" s="1"/>
  <c r="T23" i="5"/>
  <c r="M29" i="5" s="1"/>
  <c r="E11" i="5"/>
  <c r="S23" i="5"/>
  <c r="W23" i="5"/>
  <c r="M83" i="5" s="1"/>
  <c r="X23" i="5"/>
  <c r="M101" i="5" s="1"/>
  <c r="U23" i="5"/>
  <c r="M47" i="5" s="1"/>
  <c r="V23" i="5"/>
  <c r="M65" i="5" s="1"/>
  <c r="Y23" i="5"/>
  <c r="M119" i="5" s="1"/>
  <c r="AB25" i="5"/>
  <c r="M13" i="5"/>
  <c r="I12" i="4"/>
  <c r="J12" i="4" s="1"/>
  <c r="K12" i="4" s="1"/>
  <c r="L12" i="4" s="1"/>
  <c r="K21" i="4"/>
  <c r="D49" i="5"/>
  <c r="J32" i="4"/>
  <c r="D36" i="5"/>
  <c r="J8" i="4"/>
  <c r="D20" i="5"/>
  <c r="J9" i="4"/>
  <c r="D21" i="5"/>
  <c r="AB108" i="5"/>
  <c r="N6" i="5"/>
  <c r="S15" i="5"/>
  <c r="W15" i="5"/>
  <c r="M75" i="5" s="1"/>
  <c r="E3" i="5"/>
  <c r="V15" i="5"/>
  <c r="M57" i="5" s="1"/>
  <c r="Z15" i="5"/>
  <c r="M129" i="5" s="1"/>
  <c r="U15" i="5"/>
  <c r="M39" i="5" s="1"/>
  <c r="T15" i="5"/>
  <c r="M21" i="5" s="1"/>
  <c r="X15" i="5"/>
  <c r="M93" i="5" s="1"/>
  <c r="Y15" i="5"/>
  <c r="M111" i="5" s="1"/>
  <c r="S22" i="5"/>
  <c r="W22" i="5"/>
  <c r="M82" i="5" s="1"/>
  <c r="Z22" i="5"/>
  <c r="M136" i="5" s="1"/>
  <c r="U22" i="5"/>
  <c r="M46" i="5" s="1"/>
  <c r="X22" i="5"/>
  <c r="M100" i="5" s="1"/>
  <c r="Y22" i="5"/>
  <c r="M118" i="5" s="1"/>
  <c r="T22" i="5"/>
  <c r="M28" i="5" s="1"/>
  <c r="E10" i="5"/>
  <c r="V22" i="5"/>
  <c r="M64" i="5" s="1"/>
  <c r="Z43" i="5" l="1"/>
  <c r="M283" i="5" s="1"/>
  <c r="T24" i="5"/>
  <c r="M30" i="5" s="1"/>
  <c r="W43" i="5"/>
  <c r="M229" i="5" s="1"/>
  <c r="W24" i="5"/>
  <c r="M84" i="5" s="1"/>
  <c r="E12" i="5"/>
  <c r="Z24" i="5"/>
  <c r="M138" i="5" s="1"/>
  <c r="U24" i="5"/>
  <c r="M48" i="5" s="1"/>
  <c r="S24" i="5"/>
  <c r="M12" i="5" s="1"/>
  <c r="V24" i="5"/>
  <c r="M66" i="5" s="1"/>
  <c r="Y24" i="5"/>
  <c r="M120" i="5" s="1"/>
  <c r="AB47" i="5"/>
  <c r="AB17" i="5"/>
  <c r="AB29" i="5"/>
  <c r="K37" i="4"/>
  <c r="D55" i="5"/>
  <c r="E31" i="5"/>
  <c r="U43" i="5"/>
  <c r="M193" i="5" s="1"/>
  <c r="U49" i="5"/>
  <c r="M199" i="5" s="1"/>
  <c r="E37" i="5"/>
  <c r="S49" i="5"/>
  <c r="W49" i="5"/>
  <c r="M235" i="5" s="1"/>
  <c r="T49" i="5"/>
  <c r="M181" i="5" s="1"/>
  <c r="X49" i="5"/>
  <c r="M253" i="5" s="1"/>
  <c r="Z49" i="5"/>
  <c r="M289" i="5" s="1"/>
  <c r="V49" i="5"/>
  <c r="M217" i="5" s="1"/>
  <c r="Y49" i="5"/>
  <c r="M271" i="5" s="1"/>
  <c r="X43" i="5"/>
  <c r="M247" i="5" s="1"/>
  <c r="T43" i="5"/>
  <c r="M175" i="5" s="1"/>
  <c r="AB31" i="5"/>
  <c r="M19" i="5"/>
  <c r="Y43" i="5"/>
  <c r="M265" i="5" s="1"/>
  <c r="S43" i="5"/>
  <c r="M157" i="5" s="1"/>
  <c r="K15" i="4"/>
  <c r="D43" i="5"/>
  <c r="W37" i="5"/>
  <c r="M223" i="5" s="1"/>
  <c r="S37" i="5"/>
  <c r="Z37" i="5"/>
  <c r="M277" i="5" s="1"/>
  <c r="V37" i="5"/>
  <c r="M205" i="5" s="1"/>
  <c r="Y37" i="5"/>
  <c r="M259" i="5" s="1"/>
  <c r="E25" i="5"/>
  <c r="T37" i="5"/>
  <c r="M169" i="5" s="1"/>
  <c r="X37" i="5"/>
  <c r="M241" i="5" s="1"/>
  <c r="U37" i="5"/>
  <c r="M187" i="5" s="1"/>
  <c r="T36" i="5"/>
  <c r="M168" i="5" s="1"/>
  <c r="V36" i="5"/>
  <c r="M204" i="5" s="1"/>
  <c r="U36" i="5"/>
  <c r="M186" i="5" s="1"/>
  <c r="Y36" i="5"/>
  <c r="M258" i="5" s="1"/>
  <c r="W36" i="5"/>
  <c r="M222" i="5" s="1"/>
  <c r="E24" i="5"/>
  <c r="Z36" i="5"/>
  <c r="M276" i="5" s="1"/>
  <c r="S36" i="5"/>
  <c r="X36" i="5"/>
  <c r="M240" i="5" s="1"/>
  <c r="M7" i="5"/>
  <c r="AB19" i="5"/>
  <c r="AB18" i="5"/>
  <c r="M6" i="5"/>
  <c r="D42" i="5"/>
  <c r="K14" i="4"/>
  <c r="D38" i="5"/>
  <c r="K8" i="4"/>
  <c r="V41" i="5"/>
  <c r="M209" i="5" s="1"/>
  <c r="Z41" i="5"/>
  <c r="M281" i="5" s="1"/>
  <c r="X41" i="5"/>
  <c r="M245" i="5" s="1"/>
  <c r="T41" i="5"/>
  <c r="M173" i="5" s="1"/>
  <c r="W41" i="5"/>
  <c r="M227" i="5" s="1"/>
  <c r="U41" i="5"/>
  <c r="M191" i="5" s="1"/>
  <c r="Y41" i="5"/>
  <c r="M263" i="5" s="1"/>
  <c r="S41" i="5"/>
  <c r="E29" i="5"/>
  <c r="S48" i="5"/>
  <c r="Y48" i="5"/>
  <c r="M270" i="5" s="1"/>
  <c r="T48" i="5"/>
  <c r="M180" i="5" s="1"/>
  <c r="Z48" i="5"/>
  <c r="M288" i="5" s="1"/>
  <c r="E36" i="5"/>
  <c r="U48" i="5"/>
  <c r="M198" i="5" s="1"/>
  <c r="X48" i="5"/>
  <c r="M252" i="5" s="1"/>
  <c r="V48" i="5"/>
  <c r="M216" i="5" s="1"/>
  <c r="W48" i="5"/>
  <c r="M234" i="5" s="1"/>
  <c r="D46" i="5"/>
  <c r="K18" i="4"/>
  <c r="F24" i="4"/>
  <c r="F26" i="4" s="1"/>
  <c r="AB15" i="5"/>
  <c r="M3" i="5"/>
  <c r="D59" i="5"/>
  <c r="L11" i="4"/>
  <c r="D77" i="5" s="1"/>
  <c r="K22" i="4"/>
  <c r="D50" i="5"/>
  <c r="M18" i="5"/>
  <c r="AB30" i="5"/>
  <c r="S34" i="5"/>
  <c r="W34" i="5"/>
  <c r="M220" i="5" s="1"/>
  <c r="Z34" i="5"/>
  <c r="M274" i="5" s="1"/>
  <c r="Y34" i="5"/>
  <c r="M256" i="5" s="1"/>
  <c r="U34" i="5"/>
  <c r="M184" i="5" s="1"/>
  <c r="T34" i="5"/>
  <c r="M166" i="5" s="1"/>
  <c r="E22" i="5"/>
  <c r="X34" i="5"/>
  <c r="M238" i="5" s="1"/>
  <c r="V34" i="5"/>
  <c r="M202" i="5" s="1"/>
  <c r="Z101" i="5"/>
  <c r="M719" i="5" s="1"/>
  <c r="W101" i="5"/>
  <c r="M665" i="5" s="1"/>
  <c r="U101" i="5"/>
  <c r="M629" i="5" s="1"/>
  <c r="Y101" i="5"/>
  <c r="M701" i="5" s="1"/>
  <c r="S101" i="5"/>
  <c r="T101" i="5"/>
  <c r="M611" i="5" s="1"/>
  <c r="V101" i="5"/>
  <c r="M647" i="5" s="1"/>
  <c r="E89" i="5"/>
  <c r="X101" i="5"/>
  <c r="M683" i="5" s="1"/>
  <c r="W40" i="5"/>
  <c r="M226" i="5" s="1"/>
  <c r="T40" i="5"/>
  <c r="M172" i="5" s="1"/>
  <c r="V40" i="5"/>
  <c r="M208" i="5" s="1"/>
  <c r="Z40" i="5"/>
  <c r="M280" i="5" s="1"/>
  <c r="E28" i="5"/>
  <c r="Y40" i="5"/>
  <c r="M262" i="5" s="1"/>
  <c r="S40" i="5"/>
  <c r="X40" i="5"/>
  <c r="M244" i="5" s="1"/>
  <c r="U40" i="5"/>
  <c r="M190" i="5" s="1"/>
  <c r="I23" i="4"/>
  <c r="D15" i="5"/>
  <c r="H24" i="4"/>
  <c r="Y53" i="5"/>
  <c r="M401" i="5" s="1"/>
  <c r="W53" i="5"/>
  <c r="M365" i="5" s="1"/>
  <c r="S53" i="5"/>
  <c r="U53" i="5"/>
  <c r="M329" i="5" s="1"/>
  <c r="T53" i="5"/>
  <c r="M311" i="5" s="1"/>
  <c r="X53" i="5"/>
  <c r="M383" i="5" s="1"/>
  <c r="V53" i="5"/>
  <c r="M347" i="5" s="1"/>
  <c r="E41" i="5"/>
  <c r="Z53" i="5"/>
  <c r="M419" i="5" s="1"/>
  <c r="U44" i="5"/>
  <c r="M194" i="5" s="1"/>
  <c r="Y44" i="5"/>
  <c r="M266" i="5" s="1"/>
  <c r="X44" i="5"/>
  <c r="M248" i="5" s="1"/>
  <c r="E32" i="5"/>
  <c r="T44" i="5"/>
  <c r="M176" i="5" s="1"/>
  <c r="S44" i="5"/>
  <c r="Z44" i="5"/>
  <c r="M284" i="5" s="1"/>
  <c r="W44" i="5"/>
  <c r="M230" i="5" s="1"/>
  <c r="V44" i="5"/>
  <c r="M212" i="5" s="1"/>
  <c r="M305" i="5"/>
  <c r="AB65" i="5"/>
  <c r="D16" i="5"/>
  <c r="I25" i="4"/>
  <c r="K10" i="4"/>
  <c r="D40" i="5"/>
  <c r="D9" i="5"/>
  <c r="I17" i="4"/>
  <c r="AB22" i="5"/>
  <c r="M10" i="5"/>
  <c r="D48" i="5"/>
  <c r="K20" i="4"/>
  <c r="W83" i="5"/>
  <c r="M521" i="5" s="1"/>
  <c r="Z83" i="5"/>
  <c r="M575" i="5" s="1"/>
  <c r="U83" i="5"/>
  <c r="M485" i="5" s="1"/>
  <c r="X83" i="5"/>
  <c r="M539" i="5" s="1"/>
  <c r="S83" i="5"/>
  <c r="E71" i="5"/>
  <c r="Y83" i="5"/>
  <c r="M557" i="5" s="1"/>
  <c r="V83" i="5"/>
  <c r="M503" i="5" s="1"/>
  <c r="T83" i="5"/>
  <c r="M467" i="5" s="1"/>
  <c r="E49" i="5"/>
  <c r="T61" i="5"/>
  <c r="M319" i="5" s="1"/>
  <c r="W61" i="5"/>
  <c r="M373" i="5" s="1"/>
  <c r="U61" i="5"/>
  <c r="M337" i="5" s="1"/>
  <c r="X61" i="5"/>
  <c r="M391" i="5" s="1"/>
  <c r="Y61" i="5"/>
  <c r="M409" i="5" s="1"/>
  <c r="S61" i="5"/>
  <c r="Z61" i="5"/>
  <c r="M427" i="5" s="1"/>
  <c r="V61" i="5"/>
  <c r="M355" i="5" s="1"/>
  <c r="Z38" i="5"/>
  <c r="M278" i="5" s="1"/>
  <c r="S38" i="5"/>
  <c r="V38" i="5"/>
  <c r="M206" i="5" s="1"/>
  <c r="Y38" i="5"/>
  <c r="M260" i="5" s="1"/>
  <c r="X38" i="5"/>
  <c r="M242" i="5" s="1"/>
  <c r="W38" i="5"/>
  <c r="M224" i="5" s="1"/>
  <c r="E26" i="5"/>
  <c r="U38" i="5"/>
  <c r="M188" i="5" s="1"/>
  <c r="T38" i="5"/>
  <c r="M170" i="5" s="1"/>
  <c r="AB109" i="5"/>
  <c r="N150" i="5"/>
  <c r="X110" i="5"/>
  <c r="N384" i="5" s="1"/>
  <c r="V110" i="5"/>
  <c r="N348" i="5" s="1"/>
  <c r="Y110" i="5"/>
  <c r="N402" i="5" s="1"/>
  <c r="S110" i="5"/>
  <c r="W110" i="5"/>
  <c r="N366" i="5" s="1"/>
  <c r="T110" i="5"/>
  <c r="N312" i="5" s="1"/>
  <c r="Z110" i="5"/>
  <c r="N420" i="5" s="1"/>
  <c r="K43" i="4"/>
  <c r="U110" i="5"/>
  <c r="N330" i="5" s="1"/>
  <c r="M4" i="5"/>
  <c r="AB16" i="5"/>
  <c r="AB35" i="5"/>
  <c r="M149" i="5"/>
  <c r="D54" i="5"/>
  <c r="K32" i="4"/>
  <c r="S42" i="5"/>
  <c r="X42" i="5"/>
  <c r="M246" i="5" s="1"/>
  <c r="Z42" i="5"/>
  <c r="M282" i="5" s="1"/>
  <c r="U42" i="5"/>
  <c r="M192" i="5" s="1"/>
  <c r="T42" i="5"/>
  <c r="M174" i="5" s="1"/>
  <c r="E30" i="5"/>
  <c r="W42" i="5"/>
  <c r="M228" i="5" s="1"/>
  <c r="Y42" i="5"/>
  <c r="M264" i="5" s="1"/>
  <c r="V42" i="5"/>
  <c r="M210" i="5" s="1"/>
  <c r="W33" i="5"/>
  <c r="M219" i="5" s="1"/>
  <c r="X33" i="5"/>
  <c r="M237" i="5" s="1"/>
  <c r="S33" i="5"/>
  <c r="Z33" i="5"/>
  <c r="M273" i="5" s="1"/>
  <c r="T33" i="5"/>
  <c r="M165" i="5" s="1"/>
  <c r="Y33" i="5"/>
  <c r="M255" i="5" s="1"/>
  <c r="E21" i="5"/>
  <c r="U33" i="5"/>
  <c r="M183" i="5" s="1"/>
  <c r="V33" i="5"/>
  <c r="M201" i="5" s="1"/>
  <c r="K16" i="4"/>
  <c r="D44" i="5"/>
  <c r="AB26" i="5"/>
  <c r="M14" i="5"/>
  <c r="K19" i="4"/>
  <c r="D47" i="5"/>
  <c r="AB20" i="5"/>
  <c r="M8" i="5"/>
  <c r="K9" i="4"/>
  <c r="D39" i="5"/>
  <c r="M2" i="5"/>
  <c r="AB14" i="5"/>
  <c r="D67" i="5"/>
  <c r="L21" i="4"/>
  <c r="D85" i="5" s="1"/>
  <c r="Z32" i="5"/>
  <c r="M272" i="5" s="1"/>
  <c r="S32" i="5"/>
  <c r="T32" i="5"/>
  <c r="M164" i="5" s="1"/>
  <c r="W32" i="5"/>
  <c r="M218" i="5" s="1"/>
  <c r="X32" i="5"/>
  <c r="M236" i="5" s="1"/>
  <c r="U32" i="5"/>
  <c r="M182" i="5" s="1"/>
  <c r="E20" i="5"/>
  <c r="Y32" i="5"/>
  <c r="M254" i="5" s="1"/>
  <c r="V32" i="5"/>
  <c r="M200" i="5" s="1"/>
  <c r="M11" i="5"/>
  <c r="AB23" i="5"/>
  <c r="AB24" i="5" l="1"/>
  <c r="AB49" i="5"/>
  <c r="M163" i="5"/>
  <c r="AB43" i="5"/>
  <c r="X67" i="5"/>
  <c r="M397" i="5" s="1"/>
  <c r="V67" i="5"/>
  <c r="M361" i="5" s="1"/>
  <c r="U67" i="5"/>
  <c r="M343" i="5" s="1"/>
  <c r="Z67" i="5"/>
  <c r="M433" i="5" s="1"/>
  <c r="Y67" i="5"/>
  <c r="M415" i="5" s="1"/>
  <c r="S67" i="5"/>
  <c r="W67" i="5"/>
  <c r="M379" i="5" s="1"/>
  <c r="T67" i="5"/>
  <c r="M325" i="5" s="1"/>
  <c r="E55" i="5"/>
  <c r="D73" i="5"/>
  <c r="L37" i="4"/>
  <c r="D91" i="5" s="1"/>
  <c r="M151" i="5"/>
  <c r="AB37" i="5"/>
  <c r="M150" i="5"/>
  <c r="AB36" i="5"/>
  <c r="D60" i="5"/>
  <c r="L14" i="4"/>
  <c r="D78" i="5" s="1"/>
  <c r="X55" i="5"/>
  <c r="M385" i="5" s="1"/>
  <c r="T55" i="5"/>
  <c r="M313" i="5" s="1"/>
  <c r="W55" i="5"/>
  <c r="M367" i="5" s="1"/>
  <c r="S55" i="5"/>
  <c r="U55" i="5"/>
  <c r="M331" i="5" s="1"/>
  <c r="E43" i="5"/>
  <c r="Y55" i="5"/>
  <c r="M403" i="5" s="1"/>
  <c r="Z55" i="5"/>
  <c r="M421" i="5" s="1"/>
  <c r="V55" i="5"/>
  <c r="M349" i="5" s="1"/>
  <c r="E42" i="5"/>
  <c r="S54" i="5"/>
  <c r="Y54" i="5"/>
  <c r="M402" i="5" s="1"/>
  <c r="T54" i="5"/>
  <c r="M312" i="5" s="1"/>
  <c r="V54" i="5"/>
  <c r="M348" i="5" s="1"/>
  <c r="Z54" i="5"/>
  <c r="M420" i="5" s="1"/>
  <c r="X54" i="5"/>
  <c r="M384" i="5" s="1"/>
  <c r="W54" i="5"/>
  <c r="M366" i="5" s="1"/>
  <c r="U54" i="5"/>
  <c r="M330" i="5" s="1"/>
  <c r="D61" i="5"/>
  <c r="L15" i="4"/>
  <c r="D79" i="5" s="1"/>
  <c r="M154" i="5"/>
  <c r="AB40" i="5"/>
  <c r="M148" i="5"/>
  <c r="AB34" i="5"/>
  <c r="M155" i="5"/>
  <c r="AB41" i="5"/>
  <c r="D62" i="5"/>
  <c r="L16" i="4"/>
  <c r="D80" i="5" s="1"/>
  <c r="J17" i="4"/>
  <c r="D27" i="5"/>
  <c r="S111" i="5"/>
  <c r="W111" i="5"/>
  <c r="N510" i="5" s="1"/>
  <c r="L43" i="4"/>
  <c r="U111" i="5"/>
  <c r="N474" i="5" s="1"/>
  <c r="T111" i="5"/>
  <c r="N456" i="5" s="1"/>
  <c r="X111" i="5"/>
  <c r="N528" i="5" s="1"/>
  <c r="V111" i="5"/>
  <c r="N492" i="5" s="1"/>
  <c r="Z111" i="5"/>
  <c r="N564" i="5" s="1"/>
  <c r="Y111" i="5"/>
  <c r="N546" i="5" s="1"/>
  <c r="M152" i="5"/>
  <c r="AB38" i="5"/>
  <c r="X21" i="5"/>
  <c r="M99" i="5" s="1"/>
  <c r="U21" i="5"/>
  <c r="M45" i="5" s="1"/>
  <c r="E9" i="5"/>
  <c r="W21" i="5"/>
  <c r="M81" i="5" s="1"/>
  <c r="Z21" i="5"/>
  <c r="M135" i="5" s="1"/>
  <c r="S21" i="5"/>
  <c r="V21" i="5"/>
  <c r="M63" i="5" s="1"/>
  <c r="Y21" i="5"/>
  <c r="M117" i="5" s="1"/>
  <c r="T21" i="5"/>
  <c r="M27" i="5" s="1"/>
  <c r="M158" i="5"/>
  <c r="AB44" i="5"/>
  <c r="M293" i="5"/>
  <c r="AB53" i="5"/>
  <c r="L22" i="4"/>
  <c r="D86" i="5" s="1"/>
  <c r="D68" i="5"/>
  <c r="M162" i="5"/>
  <c r="AB48" i="5"/>
  <c r="AB110" i="5"/>
  <c r="N294" i="5"/>
  <c r="M593" i="5"/>
  <c r="AB101" i="5"/>
  <c r="L18" i="4"/>
  <c r="D82" i="5" s="1"/>
  <c r="D64" i="5"/>
  <c r="W56" i="5"/>
  <c r="M368" i="5" s="1"/>
  <c r="E44" i="5"/>
  <c r="T56" i="5"/>
  <c r="M314" i="5" s="1"/>
  <c r="S56" i="5"/>
  <c r="Z56" i="5"/>
  <c r="M422" i="5" s="1"/>
  <c r="U56" i="5"/>
  <c r="M332" i="5" s="1"/>
  <c r="Y56" i="5"/>
  <c r="M404" i="5" s="1"/>
  <c r="X56" i="5"/>
  <c r="M386" i="5" s="1"/>
  <c r="V56" i="5"/>
  <c r="M350" i="5" s="1"/>
  <c r="X58" i="5"/>
  <c r="M388" i="5" s="1"/>
  <c r="U58" i="5"/>
  <c r="M334" i="5" s="1"/>
  <c r="Z58" i="5"/>
  <c r="M424" i="5" s="1"/>
  <c r="T58" i="5"/>
  <c r="M316" i="5" s="1"/>
  <c r="W58" i="5"/>
  <c r="M370" i="5" s="1"/>
  <c r="E46" i="5"/>
  <c r="Y58" i="5"/>
  <c r="M406" i="5" s="1"/>
  <c r="S58" i="5"/>
  <c r="V58" i="5"/>
  <c r="M352" i="5" s="1"/>
  <c r="D66" i="5"/>
  <c r="L20" i="4"/>
  <c r="D84" i="5" s="1"/>
  <c r="M146" i="5"/>
  <c r="AB32" i="5"/>
  <c r="X60" i="5"/>
  <c r="M390" i="5" s="1"/>
  <c r="S60" i="5"/>
  <c r="T60" i="5"/>
  <c r="M318" i="5" s="1"/>
  <c r="U60" i="5"/>
  <c r="M336" i="5" s="1"/>
  <c r="W60" i="5"/>
  <c r="M372" i="5" s="1"/>
  <c r="E48" i="5"/>
  <c r="V60" i="5"/>
  <c r="M354" i="5" s="1"/>
  <c r="Y60" i="5"/>
  <c r="M408" i="5" s="1"/>
  <c r="Z60" i="5"/>
  <c r="M426" i="5" s="1"/>
  <c r="S62" i="5"/>
  <c r="Z62" i="5"/>
  <c r="M428" i="5" s="1"/>
  <c r="T62" i="5"/>
  <c r="M320" i="5" s="1"/>
  <c r="E50" i="5"/>
  <c r="X62" i="5"/>
  <c r="M392" i="5" s="1"/>
  <c r="Y62" i="5"/>
  <c r="M410" i="5" s="1"/>
  <c r="U62" i="5"/>
  <c r="M338" i="5" s="1"/>
  <c r="W62" i="5"/>
  <c r="M374" i="5" s="1"/>
  <c r="V62" i="5"/>
  <c r="M356" i="5" s="1"/>
  <c r="X97" i="5"/>
  <c r="M679" i="5" s="1"/>
  <c r="U97" i="5"/>
  <c r="M625" i="5" s="1"/>
  <c r="T97" i="5"/>
  <c r="M607" i="5" s="1"/>
  <c r="S97" i="5"/>
  <c r="E85" i="5"/>
  <c r="V97" i="5"/>
  <c r="M643" i="5" s="1"/>
  <c r="W97" i="5"/>
  <c r="M661" i="5" s="1"/>
  <c r="Y97" i="5"/>
  <c r="M697" i="5" s="1"/>
  <c r="Z97" i="5"/>
  <c r="M715" i="5" s="1"/>
  <c r="S51" i="5"/>
  <c r="E39" i="5"/>
  <c r="T51" i="5"/>
  <c r="M309" i="5" s="1"/>
  <c r="U51" i="5"/>
  <c r="M327" i="5" s="1"/>
  <c r="W51" i="5"/>
  <c r="M363" i="5" s="1"/>
  <c r="X51" i="5"/>
  <c r="M381" i="5" s="1"/>
  <c r="Z51" i="5"/>
  <c r="M417" i="5" s="1"/>
  <c r="Y51" i="5"/>
  <c r="M399" i="5" s="1"/>
  <c r="V51" i="5"/>
  <c r="M345" i="5" s="1"/>
  <c r="Z52" i="5"/>
  <c r="M418" i="5" s="1"/>
  <c r="U52" i="5"/>
  <c r="M328" i="5" s="1"/>
  <c r="X52" i="5"/>
  <c r="M382" i="5" s="1"/>
  <c r="Y52" i="5"/>
  <c r="M400" i="5" s="1"/>
  <c r="S52" i="5"/>
  <c r="W52" i="5"/>
  <c r="M364" i="5" s="1"/>
  <c r="V52" i="5"/>
  <c r="M346" i="5" s="1"/>
  <c r="E40" i="5"/>
  <c r="T52" i="5"/>
  <c r="M310" i="5" s="1"/>
  <c r="V89" i="5"/>
  <c r="M635" i="5" s="1"/>
  <c r="S89" i="5"/>
  <c r="E77" i="5"/>
  <c r="T89" i="5"/>
  <c r="M599" i="5" s="1"/>
  <c r="X89" i="5"/>
  <c r="M671" i="5" s="1"/>
  <c r="U89" i="5"/>
  <c r="M617" i="5" s="1"/>
  <c r="W89" i="5"/>
  <c r="M653" i="5" s="1"/>
  <c r="Y89" i="5"/>
  <c r="M689" i="5" s="1"/>
  <c r="Z89" i="5"/>
  <c r="M707" i="5" s="1"/>
  <c r="M156" i="5"/>
  <c r="AB42" i="5"/>
  <c r="W79" i="5"/>
  <c r="M517" i="5" s="1"/>
  <c r="X79" i="5"/>
  <c r="M535" i="5" s="1"/>
  <c r="E67" i="5"/>
  <c r="Y79" i="5"/>
  <c r="M553" i="5" s="1"/>
  <c r="T79" i="5"/>
  <c r="M463" i="5" s="1"/>
  <c r="V79" i="5"/>
  <c r="M499" i="5" s="1"/>
  <c r="Z79" i="5"/>
  <c r="M571" i="5" s="1"/>
  <c r="S79" i="5"/>
  <c r="U79" i="5"/>
  <c r="M481" i="5" s="1"/>
  <c r="L10" i="4"/>
  <c r="D76" i="5" s="1"/>
  <c r="D58" i="5"/>
  <c r="S71" i="5"/>
  <c r="V71" i="5"/>
  <c r="M491" i="5" s="1"/>
  <c r="Y71" i="5"/>
  <c r="M545" i="5" s="1"/>
  <c r="W71" i="5"/>
  <c r="M509" i="5" s="1"/>
  <c r="Z71" i="5"/>
  <c r="M563" i="5" s="1"/>
  <c r="T71" i="5"/>
  <c r="M455" i="5" s="1"/>
  <c r="E59" i="5"/>
  <c r="X71" i="5"/>
  <c r="M527" i="5" s="1"/>
  <c r="U71" i="5"/>
  <c r="M473" i="5" s="1"/>
  <c r="AB83" i="5"/>
  <c r="M449" i="5"/>
  <c r="D34" i="5"/>
  <c r="J25" i="4"/>
  <c r="H26" i="4"/>
  <c r="I24" i="4"/>
  <c r="J24" i="4" s="1"/>
  <c r="K24" i="4" s="1"/>
  <c r="L24" i="4" s="1"/>
  <c r="D65" i="5"/>
  <c r="L19" i="4"/>
  <c r="D83" i="5" s="1"/>
  <c r="D57" i="5"/>
  <c r="L9" i="4"/>
  <c r="D75" i="5" s="1"/>
  <c r="L32" i="4"/>
  <c r="D90" i="5" s="1"/>
  <c r="D72" i="5"/>
  <c r="M301" i="5"/>
  <c r="AB61" i="5"/>
  <c r="Y28" i="5"/>
  <c r="M124" i="5" s="1"/>
  <c r="U28" i="5"/>
  <c r="M52" i="5" s="1"/>
  <c r="T28" i="5"/>
  <c r="M34" i="5" s="1"/>
  <c r="E16" i="5"/>
  <c r="X28" i="5"/>
  <c r="M106" i="5" s="1"/>
  <c r="Z28" i="5"/>
  <c r="M142" i="5" s="1"/>
  <c r="S28" i="5"/>
  <c r="V28" i="5"/>
  <c r="M70" i="5" s="1"/>
  <c r="W28" i="5"/>
  <c r="M88" i="5" s="1"/>
  <c r="T27" i="5"/>
  <c r="M33" i="5" s="1"/>
  <c r="E15" i="5"/>
  <c r="Y27" i="5"/>
  <c r="M123" i="5" s="1"/>
  <c r="S27" i="5"/>
  <c r="U27" i="5"/>
  <c r="M51" i="5" s="1"/>
  <c r="X27" i="5"/>
  <c r="M105" i="5" s="1"/>
  <c r="V27" i="5"/>
  <c r="M69" i="5" s="1"/>
  <c r="W27" i="5"/>
  <c r="M87" i="5" s="1"/>
  <c r="Z27" i="5"/>
  <c r="M141" i="5" s="1"/>
  <c r="L8" i="4"/>
  <c r="D74" i="5" s="1"/>
  <c r="D56" i="5"/>
  <c r="V59" i="5"/>
  <c r="M353" i="5" s="1"/>
  <c r="S59" i="5"/>
  <c r="X59" i="5"/>
  <c r="M389" i="5" s="1"/>
  <c r="Y59" i="5"/>
  <c r="M407" i="5" s="1"/>
  <c r="E47" i="5"/>
  <c r="U59" i="5"/>
  <c r="M335" i="5" s="1"/>
  <c r="W59" i="5"/>
  <c r="M371" i="5" s="1"/>
  <c r="Z59" i="5"/>
  <c r="M425" i="5" s="1"/>
  <c r="T59" i="5"/>
  <c r="M317" i="5" s="1"/>
  <c r="AB33" i="5"/>
  <c r="M147" i="5"/>
  <c r="S66" i="5"/>
  <c r="X66" i="5"/>
  <c r="M396" i="5" s="1"/>
  <c r="W66" i="5"/>
  <c r="M378" i="5" s="1"/>
  <c r="Y66" i="5"/>
  <c r="M414" i="5" s="1"/>
  <c r="T66" i="5"/>
  <c r="M324" i="5" s="1"/>
  <c r="U66" i="5"/>
  <c r="M342" i="5" s="1"/>
  <c r="Z66" i="5"/>
  <c r="M432" i="5" s="1"/>
  <c r="E54" i="5"/>
  <c r="V66" i="5"/>
  <c r="M360" i="5" s="1"/>
  <c r="D33" i="5"/>
  <c r="J23" i="4"/>
  <c r="H57" i="4"/>
  <c r="E33" i="3"/>
  <c r="E35" i="3" s="1"/>
  <c r="H50" i="4" s="1"/>
  <c r="I50" i="4" s="1"/>
  <c r="H58" i="4"/>
  <c r="E56" i="3"/>
  <c r="E58" i="3" s="1"/>
  <c r="F50" i="4" s="1"/>
  <c r="E14" i="3"/>
  <c r="E17" i="3" s="1"/>
  <c r="F58" i="4" s="1"/>
  <c r="E49" i="3"/>
  <c r="E51" i="3" s="1"/>
  <c r="F49" i="4" s="1"/>
  <c r="E9" i="3"/>
  <c r="E12" i="3" s="1"/>
  <c r="F57" i="4" s="1"/>
  <c r="E29" i="3"/>
  <c r="E31" i="3" s="1"/>
  <c r="H49" i="4" s="1"/>
  <c r="I49" i="4" s="1"/>
  <c r="F35" i="4"/>
  <c r="S50" i="5"/>
  <c r="T50" i="5"/>
  <c r="M308" i="5" s="1"/>
  <c r="U50" i="5"/>
  <c r="M326" i="5" s="1"/>
  <c r="Y50" i="5"/>
  <c r="M398" i="5" s="1"/>
  <c r="V50" i="5"/>
  <c r="M344" i="5" s="1"/>
  <c r="E38" i="5"/>
  <c r="X50" i="5"/>
  <c r="M380" i="5" s="1"/>
  <c r="W50" i="5"/>
  <c r="M362" i="5" s="1"/>
  <c r="Z50" i="5"/>
  <c r="M416" i="5" s="1"/>
  <c r="AB67" i="5" l="1"/>
  <c r="M307" i="5"/>
  <c r="T103" i="5"/>
  <c r="M613" i="5" s="1"/>
  <c r="W103" i="5"/>
  <c r="M667" i="5" s="1"/>
  <c r="V103" i="5"/>
  <c r="M649" i="5" s="1"/>
  <c r="Y103" i="5"/>
  <c r="M703" i="5" s="1"/>
  <c r="S103" i="5"/>
  <c r="Z103" i="5"/>
  <c r="M721" i="5" s="1"/>
  <c r="X103" i="5"/>
  <c r="M685" i="5" s="1"/>
  <c r="E91" i="5"/>
  <c r="U103" i="5"/>
  <c r="M631" i="5" s="1"/>
  <c r="W85" i="5"/>
  <c r="M523" i="5" s="1"/>
  <c r="Y85" i="5"/>
  <c r="M559" i="5" s="1"/>
  <c r="X85" i="5"/>
  <c r="M541" i="5" s="1"/>
  <c r="U85" i="5"/>
  <c r="M487" i="5" s="1"/>
  <c r="S85" i="5"/>
  <c r="V85" i="5"/>
  <c r="M505" i="5" s="1"/>
  <c r="Z85" i="5"/>
  <c r="M577" i="5" s="1"/>
  <c r="T85" i="5"/>
  <c r="M469" i="5" s="1"/>
  <c r="E73" i="5"/>
  <c r="AB55" i="5"/>
  <c r="M295" i="5"/>
  <c r="Y90" i="5"/>
  <c r="M690" i="5" s="1"/>
  <c r="Z90" i="5"/>
  <c r="M708" i="5" s="1"/>
  <c r="S90" i="5"/>
  <c r="T90" i="5"/>
  <c r="M600" i="5" s="1"/>
  <c r="X90" i="5"/>
  <c r="M672" i="5" s="1"/>
  <c r="V90" i="5"/>
  <c r="M636" i="5" s="1"/>
  <c r="W90" i="5"/>
  <c r="M654" i="5" s="1"/>
  <c r="U90" i="5"/>
  <c r="M618" i="5" s="1"/>
  <c r="E78" i="5"/>
  <c r="M294" i="5"/>
  <c r="AB54" i="5"/>
  <c r="W72" i="5"/>
  <c r="M510" i="5" s="1"/>
  <c r="V72" i="5"/>
  <c r="M492" i="5" s="1"/>
  <c r="S72" i="5"/>
  <c r="T72" i="5"/>
  <c r="M456" i="5" s="1"/>
  <c r="U72" i="5"/>
  <c r="M474" i="5" s="1"/>
  <c r="X72" i="5"/>
  <c r="M528" i="5" s="1"/>
  <c r="E60" i="5"/>
  <c r="Z72" i="5"/>
  <c r="M564" i="5" s="1"/>
  <c r="Y72" i="5"/>
  <c r="M546" i="5" s="1"/>
  <c r="U91" i="5"/>
  <c r="M619" i="5" s="1"/>
  <c r="T91" i="5"/>
  <c r="M601" i="5" s="1"/>
  <c r="S91" i="5"/>
  <c r="Y91" i="5"/>
  <c r="M691" i="5" s="1"/>
  <c r="E79" i="5"/>
  <c r="V91" i="5"/>
  <c r="M637" i="5" s="1"/>
  <c r="Z91" i="5"/>
  <c r="M709" i="5" s="1"/>
  <c r="W91" i="5"/>
  <c r="M655" i="5" s="1"/>
  <c r="X91" i="5"/>
  <c r="M673" i="5" s="1"/>
  <c r="E61" i="5"/>
  <c r="Z73" i="5"/>
  <c r="M565" i="5" s="1"/>
  <c r="Y73" i="5"/>
  <c r="M547" i="5" s="1"/>
  <c r="S73" i="5"/>
  <c r="W73" i="5"/>
  <c r="M511" i="5" s="1"/>
  <c r="X73" i="5"/>
  <c r="M529" i="5" s="1"/>
  <c r="U73" i="5"/>
  <c r="M475" i="5" s="1"/>
  <c r="V73" i="5"/>
  <c r="M493" i="5" s="1"/>
  <c r="T73" i="5"/>
  <c r="M457" i="5" s="1"/>
  <c r="X95" i="5"/>
  <c r="M677" i="5" s="1"/>
  <c r="Z95" i="5"/>
  <c r="M713" i="5" s="1"/>
  <c r="V95" i="5"/>
  <c r="M641" i="5" s="1"/>
  <c r="W95" i="5"/>
  <c r="M659" i="5" s="1"/>
  <c r="Y95" i="5"/>
  <c r="M695" i="5" s="1"/>
  <c r="U95" i="5"/>
  <c r="M623" i="5" s="1"/>
  <c r="T95" i="5"/>
  <c r="M605" i="5" s="1"/>
  <c r="E83" i="5"/>
  <c r="S95" i="5"/>
  <c r="M300" i="5"/>
  <c r="AB60" i="5"/>
  <c r="X76" i="5"/>
  <c r="M532" i="5" s="1"/>
  <c r="Y76" i="5"/>
  <c r="M550" i="5" s="1"/>
  <c r="W76" i="5"/>
  <c r="M514" i="5" s="1"/>
  <c r="S76" i="5"/>
  <c r="Z76" i="5"/>
  <c r="M568" i="5" s="1"/>
  <c r="V76" i="5"/>
  <c r="M496" i="5" s="1"/>
  <c r="U76" i="5"/>
  <c r="M478" i="5" s="1"/>
  <c r="E64" i="5"/>
  <c r="T76" i="5"/>
  <c r="M460" i="5" s="1"/>
  <c r="S112" i="5"/>
  <c r="Z112" i="5"/>
  <c r="N708" i="5" s="1"/>
  <c r="V112" i="5"/>
  <c r="N636" i="5" s="1"/>
  <c r="X112" i="5"/>
  <c r="N672" i="5" s="1"/>
  <c r="U112" i="5"/>
  <c r="N618" i="5" s="1"/>
  <c r="W112" i="5"/>
  <c r="N654" i="5" s="1"/>
  <c r="Y112" i="5"/>
  <c r="N690" i="5" s="1"/>
  <c r="T112" i="5"/>
  <c r="N600" i="5" s="1"/>
  <c r="AB27" i="5"/>
  <c r="M15" i="5"/>
  <c r="S70" i="5"/>
  <c r="Z70" i="5"/>
  <c r="M562" i="5" s="1"/>
  <c r="T70" i="5"/>
  <c r="M454" i="5" s="1"/>
  <c r="E58" i="5"/>
  <c r="V70" i="5"/>
  <c r="M490" i="5" s="1"/>
  <c r="U70" i="5"/>
  <c r="M472" i="5" s="1"/>
  <c r="X70" i="5"/>
  <c r="M526" i="5" s="1"/>
  <c r="Y70" i="5"/>
  <c r="M544" i="5" s="1"/>
  <c r="W70" i="5"/>
  <c r="M508" i="5" s="1"/>
  <c r="W78" i="5"/>
  <c r="M516" i="5" s="1"/>
  <c r="Z78" i="5"/>
  <c r="M570" i="5" s="1"/>
  <c r="U78" i="5"/>
  <c r="M480" i="5" s="1"/>
  <c r="Y78" i="5"/>
  <c r="M552" i="5" s="1"/>
  <c r="X78" i="5"/>
  <c r="M534" i="5" s="1"/>
  <c r="V78" i="5"/>
  <c r="M498" i="5" s="1"/>
  <c r="S78" i="5"/>
  <c r="E66" i="5"/>
  <c r="T78" i="5"/>
  <c r="M462" i="5" s="1"/>
  <c r="AB50" i="5"/>
  <c r="M290" i="5"/>
  <c r="D45" i="5"/>
  <c r="K17" i="4"/>
  <c r="M437" i="5"/>
  <c r="AB71" i="5"/>
  <c r="AB59" i="5"/>
  <c r="M299" i="5"/>
  <c r="T84" i="5"/>
  <c r="M468" i="5" s="1"/>
  <c r="S84" i="5"/>
  <c r="V84" i="5"/>
  <c r="M504" i="5" s="1"/>
  <c r="U84" i="5"/>
  <c r="M486" i="5" s="1"/>
  <c r="Z84" i="5"/>
  <c r="M576" i="5" s="1"/>
  <c r="W84" i="5"/>
  <c r="M522" i="5" s="1"/>
  <c r="X84" i="5"/>
  <c r="M540" i="5" s="1"/>
  <c r="Y84" i="5"/>
  <c r="M558" i="5" s="1"/>
  <c r="E72" i="5"/>
  <c r="W88" i="5"/>
  <c r="M652" i="5" s="1"/>
  <c r="T88" i="5"/>
  <c r="M598" i="5" s="1"/>
  <c r="U88" i="5"/>
  <c r="M616" i="5" s="1"/>
  <c r="Z88" i="5"/>
  <c r="M706" i="5" s="1"/>
  <c r="S88" i="5"/>
  <c r="V88" i="5"/>
  <c r="M634" i="5" s="1"/>
  <c r="E76" i="5"/>
  <c r="X88" i="5"/>
  <c r="M670" i="5" s="1"/>
  <c r="Y88" i="5"/>
  <c r="M688" i="5" s="1"/>
  <c r="T102" i="5"/>
  <c r="M612" i="5" s="1"/>
  <c r="E90" i="5"/>
  <c r="V102" i="5"/>
  <c r="M648" i="5" s="1"/>
  <c r="Y102" i="5"/>
  <c r="M702" i="5" s="1"/>
  <c r="S102" i="5"/>
  <c r="W102" i="5"/>
  <c r="M666" i="5" s="1"/>
  <c r="Z102" i="5"/>
  <c r="M720" i="5" s="1"/>
  <c r="X102" i="5"/>
  <c r="M684" i="5" s="1"/>
  <c r="U102" i="5"/>
  <c r="M630" i="5" s="1"/>
  <c r="M298" i="5"/>
  <c r="AB58" i="5"/>
  <c r="AB21" i="5"/>
  <c r="M9" i="5"/>
  <c r="N438" i="5"/>
  <c r="AB111" i="5"/>
  <c r="E19" i="3"/>
  <c r="E22" i="3" s="1"/>
  <c r="F59" i="4" s="1"/>
  <c r="E63" i="3"/>
  <c r="E65" i="3" s="1"/>
  <c r="F51" i="4" s="1"/>
  <c r="E37" i="3"/>
  <c r="E39" i="3" s="1"/>
  <c r="H51" i="4" s="1"/>
  <c r="I51" i="4" s="1"/>
  <c r="F38" i="4"/>
  <c r="H59" i="4"/>
  <c r="AB79" i="5"/>
  <c r="M445" i="5"/>
  <c r="I26" i="4"/>
  <c r="H35" i="4"/>
  <c r="H38" i="4" s="1"/>
  <c r="K25" i="4"/>
  <c r="D52" i="5"/>
  <c r="M589" i="5"/>
  <c r="AB97" i="5"/>
  <c r="S68" i="5"/>
  <c r="U68" i="5"/>
  <c r="M470" i="5" s="1"/>
  <c r="W68" i="5"/>
  <c r="M506" i="5" s="1"/>
  <c r="X68" i="5"/>
  <c r="M524" i="5" s="1"/>
  <c r="Z68" i="5"/>
  <c r="M560" i="5" s="1"/>
  <c r="V68" i="5"/>
  <c r="M488" i="5" s="1"/>
  <c r="Y68" i="5"/>
  <c r="M542" i="5" s="1"/>
  <c r="E56" i="5"/>
  <c r="T68" i="5"/>
  <c r="M452" i="5" s="1"/>
  <c r="E74" i="5"/>
  <c r="X86" i="5"/>
  <c r="M668" i="5" s="1"/>
  <c r="Z86" i="5"/>
  <c r="M704" i="5" s="1"/>
  <c r="W86" i="5"/>
  <c r="M650" i="5" s="1"/>
  <c r="S86" i="5"/>
  <c r="V86" i="5"/>
  <c r="M632" i="5" s="1"/>
  <c r="T86" i="5"/>
  <c r="M596" i="5" s="1"/>
  <c r="Y86" i="5"/>
  <c r="M686" i="5" s="1"/>
  <c r="U86" i="5"/>
  <c r="M614" i="5" s="1"/>
  <c r="M16" i="5"/>
  <c r="AB28" i="5"/>
  <c r="AB52" i="5"/>
  <c r="M292" i="5"/>
  <c r="S39" i="5"/>
  <c r="Y39" i="5"/>
  <c r="M261" i="5" s="1"/>
  <c r="X39" i="5"/>
  <c r="M243" i="5" s="1"/>
  <c r="T39" i="5"/>
  <c r="M171" i="5" s="1"/>
  <c r="Z39" i="5"/>
  <c r="M279" i="5" s="1"/>
  <c r="V39" i="5"/>
  <c r="M207" i="5" s="1"/>
  <c r="E27" i="5"/>
  <c r="W39" i="5"/>
  <c r="M225" i="5" s="1"/>
  <c r="U39" i="5"/>
  <c r="M189" i="5" s="1"/>
  <c r="X77" i="5"/>
  <c r="M533" i="5" s="1"/>
  <c r="Z77" i="5"/>
  <c r="M569" i="5" s="1"/>
  <c r="T77" i="5"/>
  <c r="M461" i="5" s="1"/>
  <c r="W77" i="5"/>
  <c r="M515" i="5" s="1"/>
  <c r="E65" i="5"/>
  <c r="V77" i="5"/>
  <c r="M497" i="5" s="1"/>
  <c r="S77" i="5"/>
  <c r="Y77" i="5"/>
  <c r="M551" i="5" s="1"/>
  <c r="U77" i="5"/>
  <c r="M479" i="5" s="1"/>
  <c r="Z94" i="5"/>
  <c r="M712" i="5" s="1"/>
  <c r="S94" i="5"/>
  <c r="Y94" i="5"/>
  <c r="M694" i="5" s="1"/>
  <c r="T94" i="5"/>
  <c r="M604" i="5" s="1"/>
  <c r="U94" i="5"/>
  <c r="M622" i="5" s="1"/>
  <c r="X94" i="5"/>
  <c r="M676" i="5" s="1"/>
  <c r="W94" i="5"/>
  <c r="M658" i="5" s="1"/>
  <c r="E82" i="5"/>
  <c r="V94" i="5"/>
  <c r="M640" i="5" s="1"/>
  <c r="W74" i="5"/>
  <c r="M512" i="5" s="1"/>
  <c r="E62" i="5"/>
  <c r="X74" i="5"/>
  <c r="M530" i="5" s="1"/>
  <c r="U74" i="5"/>
  <c r="M476" i="5" s="1"/>
  <c r="S74" i="5"/>
  <c r="V74" i="5"/>
  <c r="M494" i="5" s="1"/>
  <c r="T74" i="5"/>
  <c r="M458" i="5" s="1"/>
  <c r="Y74" i="5"/>
  <c r="M548" i="5" s="1"/>
  <c r="Z74" i="5"/>
  <c r="M566" i="5" s="1"/>
  <c r="AB62" i="5"/>
  <c r="M302" i="5"/>
  <c r="S46" i="5"/>
  <c r="X46" i="5"/>
  <c r="M250" i="5" s="1"/>
  <c r="Z46" i="5"/>
  <c r="M286" i="5" s="1"/>
  <c r="Y46" i="5"/>
  <c r="M268" i="5" s="1"/>
  <c r="V46" i="5"/>
  <c r="M214" i="5" s="1"/>
  <c r="E34" i="5"/>
  <c r="U46" i="5"/>
  <c r="M196" i="5" s="1"/>
  <c r="T46" i="5"/>
  <c r="M178" i="5" s="1"/>
  <c r="W46" i="5"/>
  <c r="M232" i="5" s="1"/>
  <c r="K23" i="4"/>
  <c r="D51" i="5"/>
  <c r="S87" i="5"/>
  <c r="T87" i="5"/>
  <c r="M597" i="5" s="1"/>
  <c r="Z87" i="5"/>
  <c r="M705" i="5" s="1"/>
  <c r="Y87" i="5"/>
  <c r="M687" i="5" s="1"/>
  <c r="V87" i="5"/>
  <c r="M633" i="5" s="1"/>
  <c r="E75" i="5"/>
  <c r="W87" i="5"/>
  <c r="M651" i="5" s="1"/>
  <c r="U87" i="5"/>
  <c r="M615" i="5" s="1"/>
  <c r="X87" i="5"/>
  <c r="M669" i="5" s="1"/>
  <c r="M291" i="5"/>
  <c r="AB51" i="5"/>
  <c r="AB56" i="5"/>
  <c r="M296" i="5"/>
  <c r="Y80" i="5"/>
  <c r="M554" i="5" s="1"/>
  <c r="S80" i="5"/>
  <c r="T80" i="5"/>
  <c r="M464" i="5" s="1"/>
  <c r="E68" i="5"/>
  <c r="W80" i="5"/>
  <c r="M518" i="5" s="1"/>
  <c r="U80" i="5"/>
  <c r="M482" i="5" s="1"/>
  <c r="Z80" i="5"/>
  <c r="M572" i="5" s="1"/>
  <c r="V80" i="5"/>
  <c r="M500" i="5" s="1"/>
  <c r="X80" i="5"/>
  <c r="M536" i="5" s="1"/>
  <c r="Y92" i="5"/>
  <c r="M692" i="5" s="1"/>
  <c r="V92" i="5"/>
  <c r="M638" i="5" s="1"/>
  <c r="T92" i="5"/>
  <c r="M602" i="5" s="1"/>
  <c r="W92" i="5"/>
  <c r="M656" i="5" s="1"/>
  <c r="X92" i="5"/>
  <c r="M674" i="5" s="1"/>
  <c r="S92" i="5"/>
  <c r="U92" i="5"/>
  <c r="M620" i="5" s="1"/>
  <c r="E80" i="5"/>
  <c r="Z92" i="5"/>
  <c r="M710" i="5" s="1"/>
  <c r="M581" i="5"/>
  <c r="AB89" i="5"/>
  <c r="W96" i="5"/>
  <c r="M660" i="5" s="1"/>
  <c r="V96" i="5"/>
  <c r="M642" i="5" s="1"/>
  <c r="Z96" i="5"/>
  <c r="M714" i="5" s="1"/>
  <c r="S96" i="5"/>
  <c r="T96" i="5"/>
  <c r="M606" i="5" s="1"/>
  <c r="X96" i="5"/>
  <c r="M678" i="5" s="1"/>
  <c r="E84" i="5"/>
  <c r="Y96" i="5"/>
  <c r="M696" i="5" s="1"/>
  <c r="U96" i="5"/>
  <c r="M624" i="5" s="1"/>
  <c r="M306" i="5"/>
  <c r="AB66" i="5"/>
  <c r="X45" i="5"/>
  <c r="M249" i="5" s="1"/>
  <c r="Y45" i="5"/>
  <c r="M267" i="5" s="1"/>
  <c r="T45" i="5"/>
  <c r="M177" i="5" s="1"/>
  <c r="S45" i="5"/>
  <c r="V45" i="5"/>
  <c r="M213" i="5" s="1"/>
  <c r="Z45" i="5"/>
  <c r="M285" i="5" s="1"/>
  <c r="E33" i="5"/>
  <c r="U45" i="5"/>
  <c r="M195" i="5" s="1"/>
  <c r="W45" i="5"/>
  <c r="M231" i="5" s="1"/>
  <c r="E57" i="5"/>
  <c r="U69" i="5"/>
  <c r="M471" i="5" s="1"/>
  <c r="V69" i="5"/>
  <c r="M489" i="5" s="1"/>
  <c r="W69" i="5"/>
  <c r="M507" i="5" s="1"/>
  <c r="Y69" i="5"/>
  <c r="M543" i="5" s="1"/>
  <c r="X69" i="5"/>
  <c r="M525" i="5" s="1"/>
  <c r="Z69" i="5"/>
  <c r="M561" i="5" s="1"/>
  <c r="S69" i="5"/>
  <c r="T69" i="5"/>
  <c r="M453" i="5" s="1"/>
  <c r="Y98" i="5"/>
  <c r="M698" i="5" s="1"/>
  <c r="E86" i="5"/>
  <c r="U98" i="5"/>
  <c r="M626" i="5" s="1"/>
  <c r="X98" i="5"/>
  <c r="M680" i="5" s="1"/>
  <c r="T98" i="5"/>
  <c r="M608" i="5" s="1"/>
  <c r="V98" i="5"/>
  <c r="M644" i="5" s="1"/>
  <c r="S98" i="5"/>
  <c r="Z98" i="5"/>
  <c r="M716" i="5" s="1"/>
  <c r="W98" i="5"/>
  <c r="M662" i="5" s="1"/>
  <c r="M595" i="5" l="1"/>
  <c r="AB103" i="5"/>
  <c r="AB85" i="5"/>
  <c r="M451" i="5"/>
  <c r="AB73" i="5"/>
  <c r="M439" i="5"/>
  <c r="M582" i="5"/>
  <c r="AB90" i="5"/>
  <c r="AB72" i="5"/>
  <c r="M438" i="5"/>
  <c r="M583" i="5"/>
  <c r="AB91" i="5"/>
  <c r="D69" i="5"/>
  <c r="L23" i="4"/>
  <c r="D87" i="5" s="1"/>
  <c r="N582" i="5"/>
  <c r="AB112" i="5"/>
  <c r="AB94" i="5"/>
  <c r="M586" i="5"/>
  <c r="M590" i="5"/>
  <c r="AB98" i="5"/>
  <c r="S116" i="5"/>
  <c r="V116" i="5"/>
  <c r="O60" i="5" s="1"/>
  <c r="W116" i="5"/>
  <c r="O78" i="5" s="1"/>
  <c r="T116" i="5"/>
  <c r="O24" i="5" s="1"/>
  <c r="Y116" i="5"/>
  <c r="O114" i="5" s="1"/>
  <c r="X116" i="5"/>
  <c r="O96" i="5" s="1"/>
  <c r="U116" i="5"/>
  <c r="O42" i="5" s="1"/>
  <c r="Z116" i="5"/>
  <c r="O132" i="5" s="1"/>
  <c r="M440" i="5"/>
  <c r="AB74" i="5"/>
  <c r="V57" i="5"/>
  <c r="M351" i="5" s="1"/>
  <c r="S57" i="5"/>
  <c r="E45" i="5"/>
  <c r="W57" i="5"/>
  <c r="M369" i="5" s="1"/>
  <c r="U57" i="5"/>
  <c r="M333" i="5" s="1"/>
  <c r="Y57" i="5"/>
  <c r="M405" i="5" s="1"/>
  <c r="Z57" i="5"/>
  <c r="M423" i="5" s="1"/>
  <c r="X57" i="5"/>
  <c r="M387" i="5" s="1"/>
  <c r="T57" i="5"/>
  <c r="M315" i="5" s="1"/>
  <c r="J26" i="4"/>
  <c r="I35" i="4"/>
  <c r="I38" i="4" s="1"/>
  <c r="M587" i="5"/>
  <c r="AB95" i="5"/>
  <c r="AB88" i="5"/>
  <c r="M580" i="5"/>
  <c r="M450" i="5"/>
  <c r="AB84" i="5"/>
  <c r="M444" i="5"/>
  <c r="AB78" i="5"/>
  <c r="D63" i="5"/>
  <c r="L17" i="4"/>
  <c r="D81" i="5" s="1"/>
  <c r="D70" i="5"/>
  <c r="L25" i="4"/>
  <c r="D88" i="5" s="1"/>
  <c r="M584" i="5"/>
  <c r="AB92" i="5"/>
  <c r="AB46" i="5"/>
  <c r="M160" i="5"/>
  <c r="M434" i="5"/>
  <c r="AB68" i="5"/>
  <c r="AB102" i="5"/>
  <c r="M594" i="5"/>
  <c r="AB70" i="5"/>
  <c r="M436" i="5"/>
  <c r="AB76" i="5"/>
  <c r="M442" i="5"/>
  <c r="S64" i="5"/>
  <c r="Z64" i="5"/>
  <c r="M430" i="5" s="1"/>
  <c r="U64" i="5"/>
  <c r="M340" i="5" s="1"/>
  <c r="Y64" i="5"/>
  <c r="M412" i="5" s="1"/>
  <c r="T64" i="5"/>
  <c r="M322" i="5" s="1"/>
  <c r="X64" i="5"/>
  <c r="M394" i="5" s="1"/>
  <c r="E52" i="5"/>
  <c r="V64" i="5"/>
  <c r="M358" i="5" s="1"/>
  <c r="W64" i="5"/>
  <c r="M376" i="5" s="1"/>
  <c r="E41" i="3"/>
  <c r="E43" i="3" s="1"/>
  <c r="H52" i="4" s="1"/>
  <c r="I52" i="4" s="1"/>
  <c r="E24" i="3"/>
  <c r="E27" i="3" s="1"/>
  <c r="F60" i="4" s="1"/>
  <c r="H60" i="4"/>
  <c r="E70" i="3"/>
  <c r="E72" i="3" s="1"/>
  <c r="F52" i="4" s="1"/>
  <c r="AB80" i="5"/>
  <c r="M446" i="5"/>
  <c r="AB77" i="5"/>
  <c r="M443" i="5"/>
  <c r="AB86" i="5"/>
  <c r="M578" i="5"/>
  <c r="AB69" i="5"/>
  <c r="M435" i="5"/>
  <c r="AB96" i="5"/>
  <c r="M588" i="5"/>
  <c r="AB87" i="5"/>
  <c r="M579" i="5"/>
  <c r="M159" i="5"/>
  <c r="AB45" i="5"/>
  <c r="S63" i="5"/>
  <c r="V63" i="5"/>
  <c r="M357" i="5" s="1"/>
  <c r="Y63" i="5"/>
  <c r="M411" i="5" s="1"/>
  <c r="E51" i="5"/>
  <c r="X63" i="5"/>
  <c r="M393" i="5" s="1"/>
  <c r="U63" i="5"/>
  <c r="M339" i="5" s="1"/>
  <c r="T63" i="5"/>
  <c r="M321" i="5" s="1"/>
  <c r="Z63" i="5"/>
  <c r="M429" i="5" s="1"/>
  <c r="W63" i="5"/>
  <c r="M375" i="5" s="1"/>
  <c r="AB39" i="5"/>
  <c r="M153" i="5"/>
  <c r="M304" i="5" l="1"/>
  <c r="AB64" i="5"/>
  <c r="AB116" i="5"/>
  <c r="O6" i="5"/>
  <c r="X100" i="5"/>
  <c r="M682" i="5" s="1"/>
  <c r="E88" i="5"/>
  <c r="S100" i="5"/>
  <c r="T100" i="5"/>
  <c r="M610" i="5" s="1"/>
  <c r="Y100" i="5"/>
  <c r="M700" i="5" s="1"/>
  <c r="W100" i="5"/>
  <c r="M664" i="5" s="1"/>
  <c r="U100" i="5"/>
  <c r="M628" i="5" s="1"/>
  <c r="V100" i="5"/>
  <c r="M646" i="5" s="1"/>
  <c r="Z100" i="5"/>
  <c r="M718" i="5" s="1"/>
  <c r="T117" i="5"/>
  <c r="O168" i="5" s="1"/>
  <c r="U117" i="5"/>
  <c r="O186" i="5" s="1"/>
  <c r="V117" i="5"/>
  <c r="O204" i="5" s="1"/>
  <c r="Z117" i="5"/>
  <c r="O276" i="5" s="1"/>
  <c r="S117" i="5"/>
  <c r="W117" i="5"/>
  <c r="O222" i="5" s="1"/>
  <c r="X117" i="5"/>
  <c r="O240" i="5" s="1"/>
  <c r="Y117" i="5"/>
  <c r="O258" i="5" s="1"/>
  <c r="Z82" i="5"/>
  <c r="M574" i="5" s="1"/>
  <c r="E70" i="5"/>
  <c r="X82" i="5"/>
  <c r="M538" i="5" s="1"/>
  <c r="Y82" i="5"/>
  <c r="M556" i="5" s="1"/>
  <c r="V82" i="5"/>
  <c r="M502" i="5" s="1"/>
  <c r="T82" i="5"/>
  <c r="M466" i="5" s="1"/>
  <c r="W82" i="5"/>
  <c r="M520" i="5" s="1"/>
  <c r="U82" i="5"/>
  <c r="M484" i="5" s="1"/>
  <c r="S82" i="5"/>
  <c r="K26" i="4"/>
  <c r="J35" i="4"/>
  <c r="J38" i="4" s="1"/>
  <c r="AB63" i="5"/>
  <c r="M303" i="5"/>
  <c r="U93" i="5"/>
  <c r="M621" i="5" s="1"/>
  <c r="X93" i="5"/>
  <c r="M675" i="5" s="1"/>
  <c r="S93" i="5"/>
  <c r="T93" i="5"/>
  <c r="M603" i="5" s="1"/>
  <c r="V93" i="5"/>
  <c r="M639" i="5" s="1"/>
  <c r="W93" i="5"/>
  <c r="M657" i="5" s="1"/>
  <c r="Y93" i="5"/>
  <c r="M693" i="5" s="1"/>
  <c r="Z93" i="5"/>
  <c r="M711" i="5" s="1"/>
  <c r="E81" i="5"/>
  <c r="E63" i="5"/>
  <c r="Y75" i="5"/>
  <c r="M549" i="5" s="1"/>
  <c r="U75" i="5"/>
  <c r="M477" i="5" s="1"/>
  <c r="V75" i="5"/>
  <c r="M495" i="5" s="1"/>
  <c r="S75" i="5"/>
  <c r="Z75" i="5"/>
  <c r="M567" i="5" s="1"/>
  <c r="W75" i="5"/>
  <c r="M513" i="5" s="1"/>
  <c r="X75" i="5"/>
  <c r="M531" i="5" s="1"/>
  <c r="T75" i="5"/>
  <c r="M459" i="5" s="1"/>
  <c r="T99" i="5"/>
  <c r="M609" i="5" s="1"/>
  <c r="W99" i="5"/>
  <c r="M663" i="5" s="1"/>
  <c r="Z99" i="5"/>
  <c r="M717" i="5" s="1"/>
  <c r="E87" i="5"/>
  <c r="S99" i="5"/>
  <c r="Y99" i="5"/>
  <c r="M699" i="5" s="1"/>
  <c r="V99" i="5"/>
  <c r="M645" i="5" s="1"/>
  <c r="X99" i="5"/>
  <c r="M681" i="5" s="1"/>
  <c r="U99" i="5"/>
  <c r="M627" i="5" s="1"/>
  <c r="M297" i="5"/>
  <c r="AB57" i="5"/>
  <c r="Z81" i="5"/>
  <c r="M573" i="5" s="1"/>
  <c r="E69" i="5"/>
  <c r="U81" i="5"/>
  <c r="M483" i="5" s="1"/>
  <c r="V81" i="5"/>
  <c r="M501" i="5" s="1"/>
  <c r="Y81" i="5"/>
  <c r="M555" i="5" s="1"/>
  <c r="S81" i="5"/>
  <c r="W81" i="5"/>
  <c r="M519" i="5" s="1"/>
  <c r="X81" i="5"/>
  <c r="M537" i="5" s="1"/>
  <c r="T81" i="5"/>
  <c r="M465" i="5" s="1"/>
  <c r="L26" i="4" l="1"/>
  <c r="L35" i="4" s="1"/>
  <c r="L38" i="4" s="1"/>
  <c r="K35" i="4"/>
  <c r="K38" i="4" s="1"/>
  <c r="AB82" i="5"/>
  <c r="M448" i="5"/>
  <c r="Y118" i="5"/>
  <c r="O402" i="5" s="1"/>
  <c r="S118" i="5"/>
  <c r="X118" i="5"/>
  <c r="O384" i="5" s="1"/>
  <c r="T118" i="5"/>
  <c r="O312" i="5" s="1"/>
  <c r="W118" i="5"/>
  <c r="O366" i="5" s="1"/>
  <c r="U118" i="5"/>
  <c r="O330" i="5" s="1"/>
  <c r="V118" i="5"/>
  <c r="O348" i="5" s="1"/>
  <c r="Z118" i="5"/>
  <c r="O420" i="5" s="1"/>
  <c r="M592" i="5"/>
  <c r="AB100" i="5"/>
  <c r="AB99" i="5"/>
  <c r="M591" i="5"/>
  <c r="AB117" i="5"/>
  <c r="O150" i="5"/>
  <c r="M447" i="5"/>
  <c r="AB81" i="5"/>
  <c r="M441" i="5"/>
  <c r="AB75" i="5"/>
  <c r="AB93" i="5"/>
  <c r="M585" i="5"/>
  <c r="AB118" i="5" l="1"/>
  <c r="O294" i="5"/>
  <c r="V119" i="5"/>
  <c r="O492" i="5" s="1"/>
  <c r="U119" i="5"/>
  <c r="O474" i="5" s="1"/>
  <c r="Z119" i="5"/>
  <c r="O564" i="5" s="1"/>
  <c r="T119" i="5"/>
  <c r="O456" i="5" s="1"/>
  <c r="Y119" i="5"/>
  <c r="O546" i="5" s="1"/>
  <c r="W119" i="5"/>
  <c r="O510" i="5" s="1"/>
  <c r="S119" i="5"/>
  <c r="X119" i="5"/>
  <c r="O528" i="5" s="1"/>
  <c r="W120" i="5"/>
  <c r="O654" i="5" s="1"/>
  <c r="X120" i="5"/>
  <c r="O672" i="5" s="1"/>
  <c r="V120" i="5"/>
  <c r="O636" i="5" s="1"/>
  <c r="Y120" i="5"/>
  <c r="O690" i="5" s="1"/>
  <c r="T120" i="5"/>
  <c r="O600" i="5" s="1"/>
  <c r="Z120" i="5"/>
  <c r="O708" i="5" s="1"/>
  <c r="S120" i="5"/>
  <c r="U120" i="5"/>
  <c r="O618" i="5" s="1"/>
  <c r="AB120" i="5" l="1"/>
  <c r="O582" i="5"/>
  <c r="O438" i="5"/>
  <c r="AB119"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tc={845BF214-B472-43D0-AB44-8876E7C5D1A0}</author>
    <author>tc={2D4FFFFF-60CE-4D1A-B094-75C7C60AF230}</author>
    <author>Adeolu J. Adekunle</author>
    <author/>
  </authors>
  <commentList>
    <comment ref="D16" authorId="0" shapeId="0" xr:uid="{845BF214-B472-43D0-AB44-8876E7C5D1A0}">
      <text>
        <t>[Threaded comment]
Your version of Excel allows you to read this threaded comment; however, any edits to it will get removed if the file is opened in a newer version of Excel. Learn more: https://go.microsoft.com/fwlink/?linkid=870924
Comment:
    At $2.5 per lb</t>
      </text>
    </comment>
    <comment ref="D18" authorId="1" shapeId="0" xr:uid="{2D4FFFFF-60CE-4D1A-B094-75C7C60AF230}">
      <text>
        <t>[Threaded comment]
Your version of Excel allows you to read this threaded comment; however, any edits to it will get removed if the file is opened in a newer version of Excel. Learn more: https://go.microsoft.com/fwlink/?linkid=870924
Comment:
    At $1.90 per lb</t>
      </text>
    </comment>
    <comment ref="A19" authorId="2" shapeId="0" xr:uid="{3F6E90B4-73D7-43F2-ADD5-DED7E84BFAF0}">
      <text>
        <r>
          <rPr>
            <b/>
            <sz val="9"/>
            <color indexed="81"/>
            <rFont val="Tahoma"/>
            <family val="2"/>
          </rPr>
          <t>Adeolu J. Adekunle:</t>
        </r>
        <r>
          <rPr>
            <sz val="9"/>
            <color indexed="81"/>
            <rFont val="Tahoma"/>
            <family val="2"/>
          </rPr>
          <t xml:space="preserve">
Livestock Risk Protection Insurance Premium</t>
        </r>
      </text>
    </comment>
    <comment ref="B30" authorId="3" shapeId="0" xr:uid="{72A30A2F-C58B-4EFA-A469-54430C07BC3D}">
      <text>
        <r>
          <rPr>
            <sz val="12"/>
            <color rgb="FF000000"/>
            <rFont val="Calibri"/>
            <family val="2"/>
            <scheme val="minor"/>
          </rPr>
          <t>Includes processing $.25/bu. or 1/2 cent per lb</t>
        </r>
      </text>
    </comment>
    <comment ref="B31" authorId="3" shapeId="0" xr:uid="{3A005336-36F7-4C1A-957D-7D22439E33F1}">
      <text>
        <r>
          <rPr>
            <sz val="12"/>
            <color rgb="FF000000"/>
            <rFont val="Calibri"/>
            <family val="2"/>
            <scheme val="minor"/>
          </rPr>
          <t>Barley Silage price may be estimated at 10 times the bushel price of barley.</t>
        </r>
      </text>
    </comment>
    <comment ref="A54" authorId="2" shapeId="0" xr:uid="{C99A2ECE-40AA-4E39-9B82-8481E90CFA95}">
      <text>
        <r>
          <rPr>
            <b/>
            <sz val="9"/>
            <color indexed="81"/>
            <rFont val="Tahoma"/>
            <family val="2"/>
          </rPr>
          <t>Adeolu J. Adekunle:</t>
        </r>
        <r>
          <rPr>
            <sz val="9"/>
            <color indexed="81"/>
            <rFont val="Tahoma"/>
            <family val="2"/>
          </rPr>
          <t xml:space="preserve">
Infectious Bovine Rhinotracheitis
Bovine Respiratory Disease
Parainfluenza III
Bovine Viral Diarrhea
Bovine Respiratory Syncitial Virus</t>
        </r>
      </text>
    </comment>
    <comment ref="A85" authorId="2" shapeId="0" xr:uid="{567194CE-C88C-4DB3-820D-5131EFB034F8}">
      <text>
        <r>
          <rPr>
            <b/>
            <sz val="9"/>
            <color indexed="81"/>
            <rFont val="Tahoma"/>
            <family val="2"/>
          </rPr>
          <t>Adeolu J. Adekunle:</t>
        </r>
        <r>
          <rPr>
            <sz val="9"/>
            <color indexed="81"/>
            <rFont val="Tahoma"/>
            <family val="2"/>
          </rPr>
          <t xml:space="preserve">
Texas Bovine Practitioners</t>
        </r>
      </text>
    </comment>
    <comment ref="E93" authorId="3" shapeId="0" xr:uid="{4AE4D9D1-830C-4100-8F67-65FB9C87B57D}">
      <text>
        <r>
          <rPr>
            <sz val="12"/>
            <color rgb="FF000000"/>
            <rFont val="Calibri"/>
            <family val="2"/>
            <scheme val="minor"/>
          </rPr>
          <t>Rate varies from $.25 to $.30 per $100 of coverage for fire only. Extended coverage varies from $.38 to $.46.</t>
        </r>
      </text>
    </comment>
    <comment ref="E94" authorId="3" shapeId="0" xr:uid="{4661D0FC-57FD-41E3-A912-B32CD8C11D4D}">
      <text>
        <r>
          <rPr>
            <sz val="12"/>
            <color rgb="FF000000"/>
            <rFont val="Calibri"/>
            <family val="2"/>
            <scheme val="minor"/>
          </rPr>
          <t>Liability $49 for $1 million coverage.</t>
        </r>
      </text>
    </comment>
  </commentList>
</comments>
</file>

<file path=xl/sharedStrings.xml><?xml version="1.0" encoding="utf-8"?>
<sst xmlns="http://schemas.openxmlformats.org/spreadsheetml/2006/main" count="3949" uniqueCount="384">
  <si>
    <t>Feedlot Finishing Production Costs - Input</t>
  </si>
  <si>
    <t xml:space="preserve">   Assumptions</t>
  </si>
  <si>
    <t xml:space="preserve">   1.  This budget outlines the cost of production for a cattle feeder's operation.</t>
  </si>
  <si>
    <t xml:space="preserve">   2.  Buildings and equipment are valued at new cost.</t>
  </si>
  <si>
    <t xml:space="preserve">   3.  All feed is purchased.</t>
  </si>
  <si>
    <t>Herd Profile</t>
  </si>
  <si>
    <t>Total</t>
  </si>
  <si>
    <t>Number of Feeders Purchased</t>
  </si>
  <si>
    <t xml:space="preserve">  head</t>
  </si>
  <si>
    <t>Feeder Cattle Mortality Rate</t>
  </si>
  <si>
    <t xml:space="preserve">  %</t>
  </si>
  <si>
    <t>Feeder Purchased Weight</t>
  </si>
  <si>
    <t xml:space="preserve">  lbs</t>
  </si>
  <si>
    <t>Feeder Cattle Price</t>
  </si>
  <si>
    <t xml:space="preserve">  /cwt</t>
  </si>
  <si>
    <t>Finish Weight</t>
  </si>
  <si>
    <t>Finish Selling Price</t>
  </si>
  <si>
    <t>LRP Insurance Premium</t>
  </si>
  <si>
    <t>Percent Shrink - finished</t>
  </si>
  <si>
    <t>Percent Shrink - feeder</t>
  </si>
  <si>
    <t>Average Daily Gain</t>
  </si>
  <si>
    <t xml:space="preserve">  lbs/day</t>
  </si>
  <si>
    <t>Days On Feed</t>
  </si>
  <si>
    <t xml:space="preserve">  days</t>
  </si>
  <si>
    <t>FOOTNOTE:  1 kilogram (kg) = 2.2046 pounds (lbs)</t>
  </si>
  <si>
    <t xml:space="preserve">    Feeder Cattle</t>
  </si>
  <si>
    <t xml:space="preserve">Days on </t>
  </si>
  <si>
    <t>Feed Costs</t>
  </si>
  <si>
    <t>$/unit</t>
  </si>
  <si>
    <r>
      <rPr>
        <b/>
        <sz val="12"/>
        <color theme="1"/>
        <rFont val="Arial"/>
        <family val="2"/>
      </rPr>
      <t xml:space="preserve">    </t>
    </r>
    <r>
      <rPr>
        <b/>
        <u/>
        <sz val="12"/>
        <color theme="1"/>
        <rFont val="Arial"/>
        <family val="2"/>
      </rPr>
      <t>Requirement</t>
    </r>
  </si>
  <si>
    <t>Feed</t>
  </si>
  <si>
    <t>Rolled Barley</t>
  </si>
  <si>
    <t>/bu</t>
  </si>
  <si>
    <t>(lbs/day )</t>
  </si>
  <si>
    <t>Corn Silage</t>
  </si>
  <si>
    <t>/ton</t>
  </si>
  <si>
    <t>Hay</t>
  </si>
  <si>
    <t>Supplement 32%</t>
  </si>
  <si>
    <t>/tonne</t>
  </si>
  <si>
    <t>Other Feed #2</t>
  </si>
  <si>
    <t>Salt, Vitamins &amp; Mineral</t>
  </si>
  <si>
    <t>/lb</t>
  </si>
  <si>
    <t>(lbs/year)</t>
  </si>
  <si>
    <t>FOOTNOTE:  1 bushel (bu) barley = 48 lbs = 21.8 kg</t>
  </si>
  <si>
    <t xml:space="preserve">                        1 kilogram (kg) = 2.2046 pounds (lbs)</t>
  </si>
  <si>
    <t xml:space="preserve">                        1 tonne (t) = 1,000 kg</t>
  </si>
  <si>
    <t>Other Operating Costs</t>
  </si>
  <si>
    <t xml:space="preserve">  Feeder Purchase Costs</t>
  </si>
  <si>
    <t xml:space="preserve">     Buying Commission</t>
  </si>
  <si>
    <t>/cwt</t>
  </si>
  <si>
    <t xml:space="preserve">     Insurance</t>
  </si>
  <si>
    <t/>
  </si>
  <si>
    <t>/head</t>
  </si>
  <si>
    <t xml:space="preserve">     Trucking Cost</t>
  </si>
  <si>
    <t xml:space="preserve">  Straw</t>
  </si>
  <si>
    <t xml:space="preserve">     Tons/feeder</t>
  </si>
  <si>
    <t>tons</t>
  </si>
  <si>
    <t xml:space="preserve">     Cost</t>
  </si>
  <si>
    <t xml:space="preserve">  Veterinary Medicine &amp; Supplies</t>
  </si>
  <si>
    <t xml:space="preserve">   Cattle Medication</t>
  </si>
  <si>
    <t xml:space="preserve">     Cost/Head(IBR,BRD,PI3,BVD,BRSV, Pasteurella)</t>
  </si>
  <si>
    <t xml:space="preserve">     Vitamin A-D</t>
  </si>
  <si>
    <t xml:space="preserve">     External &amp; Internal Parasites</t>
  </si>
  <si>
    <t xml:space="preserve">     Blackleg &amp; Haemophilus</t>
  </si>
  <si>
    <t xml:space="preserve">     Growth Implants</t>
  </si>
  <si>
    <t xml:space="preserve">     Antibiotics</t>
  </si>
  <si>
    <t xml:space="preserve">   Herd health program</t>
  </si>
  <si>
    <t xml:space="preserve">     Professional Services</t>
  </si>
  <si>
    <t xml:space="preserve">       Total Yearly Hours</t>
  </si>
  <si>
    <t>hours</t>
  </si>
  <si>
    <t xml:space="preserve">       Charge per Hour</t>
  </si>
  <si>
    <t>/hour</t>
  </si>
  <si>
    <t xml:space="preserve">     Transportation</t>
  </si>
  <si>
    <t xml:space="preserve">       Total Kilometres (round trip)</t>
  </si>
  <si>
    <t>km</t>
  </si>
  <si>
    <t xml:space="preserve">       Charge per km</t>
  </si>
  <si>
    <t>/km</t>
  </si>
  <si>
    <t xml:space="preserve">       Number of Yearly Visits</t>
  </si>
  <si>
    <t xml:space="preserve">   Annual Fuel &amp; Repair Costs</t>
  </si>
  <si>
    <t xml:space="preserve">     Repairs (Machinery, Equipment &amp; Facilities)</t>
  </si>
  <si>
    <t xml:space="preserve">     Fuel Costs</t>
  </si>
  <si>
    <t xml:space="preserve">  Utilities</t>
  </si>
  <si>
    <t xml:space="preserve">     Yearly Telephone &amp; Hydro</t>
  </si>
  <si>
    <t xml:space="preserve">  Marketing Costs</t>
  </si>
  <si>
    <t xml:space="preserve">  Trucking Cost</t>
  </si>
  <si>
    <t xml:space="preserve">     Distance</t>
  </si>
  <si>
    <t>miles</t>
  </si>
  <si>
    <t xml:space="preserve">     Rate</t>
  </si>
  <si>
    <t>/loaded mile</t>
  </si>
  <si>
    <t xml:space="preserve">     Truck Capacity</t>
  </si>
  <si>
    <t>lbs/load</t>
  </si>
  <si>
    <t xml:space="preserve">     Number of head per load</t>
  </si>
  <si>
    <t>per load</t>
  </si>
  <si>
    <t xml:space="preserve">     Selling commission</t>
  </si>
  <si>
    <t xml:space="preserve">  Other Costs</t>
  </si>
  <si>
    <t xml:space="preserve">     TBP Levy</t>
  </si>
  <si>
    <t xml:space="preserve">  Manure Removal</t>
  </si>
  <si>
    <t xml:space="preserve">     Annual Cost for Removal</t>
  </si>
  <si>
    <t xml:space="preserve">  Insurance</t>
  </si>
  <si>
    <t xml:space="preserve">     Cost per $100 Capital Invested in:</t>
  </si>
  <si>
    <t xml:space="preserve">       a) Livestock</t>
  </si>
  <si>
    <t xml:space="preserve">       b) Building &amp; Equipment</t>
  </si>
  <si>
    <t xml:space="preserve">     Additional Coverage for Liability</t>
  </si>
  <si>
    <t xml:space="preserve">  Barn &amp; Office Supplies</t>
  </si>
  <si>
    <t xml:space="preserve">     Total yearly expense relating to barn</t>
  </si>
  <si>
    <t xml:space="preserve">  Operating Interest Rate</t>
  </si>
  <si>
    <t>%</t>
  </si>
  <si>
    <t xml:space="preserve">  Investment Interest Rate</t>
  </si>
  <si>
    <t>FOOTNOTE:  cwt = hundred-weight = 100 lbs</t>
  </si>
  <si>
    <t>Capital Costs</t>
  </si>
  <si>
    <t>Original</t>
  </si>
  <si>
    <t>Salvage</t>
  </si>
  <si>
    <t>Useful</t>
  </si>
  <si>
    <t xml:space="preserve">  Buildings,Corrals &amp; Water System</t>
  </si>
  <si>
    <t>Value</t>
  </si>
  <si>
    <t>Life</t>
  </si>
  <si>
    <t xml:space="preserve">     Windbreak fence</t>
  </si>
  <si>
    <t>years</t>
  </si>
  <si>
    <t xml:space="preserve">     Pens</t>
  </si>
  <si>
    <t xml:space="preserve">     Shelters</t>
  </si>
  <si>
    <t xml:space="preserve">     Handling Facilities</t>
  </si>
  <si>
    <t xml:space="preserve">     Waterers</t>
  </si>
  <si>
    <t xml:space="preserve">     Gates</t>
  </si>
  <si>
    <t xml:space="preserve">     Bunk Feeders</t>
  </si>
  <si>
    <t xml:space="preserve">     Well &amp; Pressure System</t>
  </si>
  <si>
    <t xml:space="preserve">     Grain Bin</t>
  </si>
  <si>
    <t xml:space="preserve">     Landscaping</t>
  </si>
  <si>
    <t xml:space="preserve">     Total</t>
  </si>
  <si>
    <t xml:space="preserve">  Machinery &amp; Equipment</t>
  </si>
  <si>
    <t xml:space="preserve">     Tractors &amp; Loader ($125,000 @ 40%)</t>
  </si>
  <si>
    <t xml:space="preserve">     Miscellaneous</t>
  </si>
  <si>
    <t xml:space="preserve">  Total Investment</t>
  </si>
  <si>
    <t>Labour Costs</t>
  </si>
  <si>
    <t xml:space="preserve">  Labour Hours</t>
  </si>
  <si>
    <t>hours/head</t>
  </si>
  <si>
    <t xml:space="preserve">  Labour Rate</t>
  </si>
  <si>
    <t>Credit: https://www.gov.mb.ca/agriculture/farm-management/production-economics/pubs/cop-beef-feedlot-finishing</t>
  </si>
  <si>
    <t>Feedlot Finishing Production Cost Worksheet</t>
  </si>
  <si>
    <t>Assumptions</t>
  </si>
  <si>
    <t>A.  Operating Costs</t>
  </si>
  <si>
    <t>Your Cost</t>
  </si>
  <si>
    <t>1.  Feed Costs</t>
  </si>
  <si>
    <t xml:space="preserve">    1.01  Rolled Barley</t>
  </si>
  <si>
    <t>days on grain</t>
  </si>
  <si>
    <t>x</t>
  </si>
  <si>
    <t>lbs/feeder/day</t>
  </si>
  <si>
    <t>÷</t>
  </si>
  <si>
    <t>lbs/bushel</t>
  </si>
  <si>
    <t>/bushel</t>
  </si>
  <si>
    <t>=</t>
  </si>
  <si>
    <t>/feeder</t>
  </si>
  <si>
    <t xml:space="preserve">    1.02  Barley Silage</t>
  </si>
  <si>
    <t>days on silage</t>
  </si>
  <si>
    <t>lbs/ton</t>
  </si>
  <si>
    <t xml:space="preserve">    1.03  Grass Hay</t>
  </si>
  <si>
    <t>days on hay</t>
  </si>
  <si>
    <t xml:space="preserve">    1.04 Supplement (Salt, Vitamins, Minerals, Ionophore)</t>
  </si>
  <si>
    <t>days on supplement</t>
  </si>
  <si>
    <t>lbs/tonne</t>
  </si>
  <si>
    <t>2.  Other Operating Costs</t>
  </si>
  <si>
    <t xml:space="preserve">    2.01  Feeder Cattle Cost</t>
  </si>
  <si>
    <t>Buying Commission &amp; insurance</t>
  </si>
  <si>
    <t>commission/feeder</t>
  </si>
  <si>
    <t>insurance/feeder</t>
  </si>
  <si>
    <t>Trucking-in</t>
  </si>
  <si>
    <t>lbs/feeder</t>
  </si>
  <si>
    <t>lbs/cwt</t>
  </si>
  <si>
    <t xml:space="preserve">    2.02 Straw</t>
  </si>
  <si>
    <t>tons/feeder/year</t>
  </si>
  <si>
    <t xml:space="preserve">    2.03 Veterinary Medicine &amp; Supplies</t>
  </si>
  <si>
    <t>Cattle Medication</t>
  </si>
  <si>
    <t>IBR,PI3,BVD,BRSV &amp; Pasteurella</t>
  </si>
  <si>
    <t>+</t>
  </si>
  <si>
    <t>Vitamin A,D &amp; E</t>
  </si>
  <si>
    <t>External &amp; Internal Parasites</t>
  </si>
  <si>
    <t>Blackleg &amp; Haemphilus</t>
  </si>
  <si>
    <t>Implant</t>
  </si>
  <si>
    <t>Antibiotics</t>
  </si>
  <si>
    <t xml:space="preserve">/feeder </t>
  </si>
  <si>
    <t xml:space="preserve">  Professional Services</t>
  </si>
  <si>
    <t>/hour charge</t>
  </si>
  <si>
    <t>feeder cattle</t>
  </si>
  <si>
    <t xml:space="preserve">  Transportation Costs</t>
  </si>
  <si>
    <t>/km charge</t>
  </si>
  <si>
    <t>kilometres</t>
  </si>
  <si>
    <t>visits</t>
  </si>
  <si>
    <t xml:space="preserve">    2.04  Annual Fuel &amp; Repair Costs</t>
  </si>
  <si>
    <t>repairs</t>
  </si>
  <si>
    <t>fuel costs</t>
  </si>
  <si>
    <t xml:space="preserve">    2.05  Utilities</t>
  </si>
  <si>
    <t>utilities</t>
  </si>
  <si>
    <t xml:space="preserve">    2.06  Marketing &amp; Transportation</t>
  </si>
  <si>
    <t>TBP Levy</t>
  </si>
  <si>
    <t>WLPIP Insurance Premium</t>
  </si>
  <si>
    <t xml:space="preserve">commission </t>
  </si>
  <si>
    <t>Trucking</t>
  </si>
  <si>
    <t>head/load</t>
  </si>
  <si>
    <t xml:space="preserve">    2.07  Insurance</t>
  </si>
  <si>
    <t>building &amp; equipment investment</t>
  </si>
  <si>
    <t>/$100 capital</t>
  </si>
  <si>
    <t>/feeder/year</t>
  </si>
  <si>
    <t>feeder investment</t>
  </si>
  <si>
    <t>/$100</t>
  </si>
  <si>
    <t>liability premium</t>
  </si>
  <si>
    <t xml:space="preserve">    2.08  Manure Removal</t>
  </si>
  <si>
    <t>removal cost</t>
  </si>
  <si>
    <t xml:space="preserve">    2.09  Barn &amp; Office Supplies</t>
  </si>
  <si>
    <t>total barn expenses</t>
  </si>
  <si>
    <t xml:space="preserve">    2.10  Death Loss</t>
  </si>
  <si>
    <t>feeder cattle cost</t>
  </si>
  <si>
    <t>maximum value</t>
  </si>
  <si>
    <t>-</t>
  </si>
  <si>
    <t>marketing costs</t>
  </si>
  <si>
    <t>average value</t>
  </si>
  <si>
    <t>% mortality rate</t>
  </si>
  <si>
    <t xml:space="preserve">    2.11  Operating Interest</t>
  </si>
  <si>
    <t>feeder cost</t>
  </si>
  <si>
    <t>½ of feed &amp; other costs</t>
  </si>
  <si>
    <t>% operating interest</t>
  </si>
  <si>
    <t>days on feed</t>
  </si>
  <si>
    <t>365 days</t>
  </si>
  <si>
    <t xml:space="preserve">  Buildings,Corrals</t>
  </si>
  <si>
    <t xml:space="preserve">    &amp; Water System</t>
  </si>
  <si>
    <t xml:space="preserve">     Tractor &amp; Loader</t>
  </si>
  <si>
    <t>B.  Fixed Costs</t>
  </si>
  <si>
    <t>3.  Depreciation</t>
  </si>
  <si>
    <t>Original Cost - Salvage Value</t>
  </si>
  <si>
    <t>Useful Life</t>
  </si>
  <si>
    <t xml:space="preserve">    3.01  Buildings</t>
  </si>
  <si>
    <t>original cost</t>
  </si>
  <si>
    <t>salvage value</t>
  </si>
  <si>
    <t>years useful life</t>
  </si>
  <si>
    <t xml:space="preserve">    3.02  Machinery &amp; Equipment</t>
  </si>
  <si>
    <t>4.  Investment</t>
  </si>
  <si>
    <r>
      <rPr>
        <b/>
        <u/>
        <sz val="12"/>
        <color theme="1"/>
        <rFont val="Arial"/>
        <family val="2"/>
      </rPr>
      <t>Original Cost + Salvage Value</t>
    </r>
    <r>
      <rPr>
        <b/>
        <u/>
        <sz val="12"/>
        <color theme="1"/>
        <rFont val="Arial"/>
        <family val="2"/>
      </rPr>
      <t xml:space="preserve"> x Investment Rate</t>
    </r>
  </si>
  <si>
    <t>2</t>
  </si>
  <si>
    <t xml:space="preserve">    4.01  Buildings</t>
  </si>
  <si>
    <t>average</t>
  </si>
  <si>
    <t>% investment rate</t>
  </si>
  <si>
    <t xml:space="preserve">    4.02  Machinery &amp; Equipment</t>
  </si>
  <si>
    <t>C. Labour</t>
  </si>
  <si>
    <t>hours/feeder/year</t>
  </si>
  <si>
    <t>Breakeven Calculations</t>
  </si>
  <si>
    <t>Cost per lb of gain sold</t>
  </si>
  <si>
    <t>feed cost</t>
  </si>
  <si>
    <t>weight gain (lb)</t>
  </si>
  <si>
    <t>Operating Costs</t>
  </si>
  <si>
    <t>operating costs</t>
  </si>
  <si>
    <t>Operating &amp; Labour Costs</t>
  </si>
  <si>
    <t>operating &amp; labour</t>
  </si>
  <si>
    <t>Total Operating &amp; Fixed</t>
  </si>
  <si>
    <t>operating &amp; fixed</t>
  </si>
  <si>
    <t>Total Costs</t>
  </si>
  <si>
    <t>total</t>
  </si>
  <si>
    <t>Breakeven selling price</t>
  </si>
  <si>
    <t>lbs shrunk weight</t>
  </si>
  <si>
    <t>Operating &amp; Labour</t>
  </si>
  <si>
    <t>operating &amp; labour costs</t>
  </si>
  <si>
    <t>Operating &amp; Fixed</t>
  </si>
  <si>
    <t>operating &amp; fixed costs</t>
  </si>
  <si>
    <t>total costs</t>
  </si>
  <si>
    <t>Breakeven purchase price</t>
  </si>
  <si>
    <t>$/cwt selling price</t>
  </si>
  <si>
    <t>income</t>
  </si>
  <si>
    <t>operating less feeder cost</t>
  </si>
  <si>
    <t>lbs purchase net weight</t>
  </si>
  <si>
    <t>op &amp; labour less feeder cost</t>
  </si>
  <si>
    <t>lbs purchase weight</t>
  </si>
  <si>
    <t>op &amp; fixed less feeder cost</t>
  </si>
  <si>
    <t>total less feeder cost</t>
  </si>
  <si>
    <t>Cost/Head</t>
  </si>
  <si>
    <t>Inflation</t>
  </si>
  <si>
    <t xml:space="preserve">    Rolled Barley</t>
  </si>
  <si>
    <t xml:space="preserve">    Barley Silage</t>
  </si>
  <si>
    <t xml:space="preserve">    Grass Hay</t>
  </si>
  <si>
    <t xml:space="preserve">    Supplement</t>
  </si>
  <si>
    <t xml:space="preserve">    Total Feed Costs</t>
  </si>
  <si>
    <t>Other Op Costs</t>
  </si>
  <si>
    <t>Feeder Cattle</t>
  </si>
  <si>
    <t xml:space="preserve">   Straw</t>
  </si>
  <si>
    <t xml:space="preserve">    Veterinary Medicine &amp; Supplies</t>
  </si>
  <si>
    <t xml:space="preserve">     Annual Fuel &amp; Repair Costs</t>
  </si>
  <si>
    <t xml:space="preserve">   Utilities</t>
  </si>
  <si>
    <t xml:space="preserve">     Marketing &amp; Transportation</t>
  </si>
  <si>
    <t xml:space="preserve">    Insurance</t>
  </si>
  <si>
    <t xml:space="preserve">   Manure Removal</t>
  </si>
  <si>
    <t xml:space="preserve">    Barn &amp; Office Supplies</t>
  </si>
  <si>
    <t xml:space="preserve">    Death Loss</t>
  </si>
  <si>
    <t xml:space="preserve">    Subtotal Operating Costs</t>
  </si>
  <si>
    <t>Operating Interest</t>
  </si>
  <si>
    <t xml:space="preserve">    Total Operating Costs</t>
  </si>
  <si>
    <t>Depreciation</t>
  </si>
  <si>
    <t>Investment</t>
  </si>
  <si>
    <t xml:space="preserve">    Total Fixed Costs</t>
  </si>
  <si>
    <t>Total Operating and Fixed Costs</t>
  </si>
  <si>
    <t>Labour</t>
  </si>
  <si>
    <t>TOTAL COST OF PRODUCTION</t>
  </si>
  <si>
    <t>Profitability and Breakeven Analysis</t>
  </si>
  <si>
    <t>Estimated Farmgate</t>
  </si>
  <si>
    <t xml:space="preserve"> Per Head</t>
  </si>
  <si>
    <t>Breakeven Analysis</t>
  </si>
  <si>
    <t>Breakeven Purchase</t>
  </si>
  <si>
    <t>Breakeven Selling</t>
  </si>
  <si>
    <t>Price ($/cwt) @</t>
  </si>
  <si>
    <t xml:space="preserve">     Operating Costs</t>
  </si>
  <si>
    <t xml:space="preserve">     Operating Costs &amp; Labour</t>
  </si>
  <si>
    <t xml:space="preserve">     Operating &amp; Fixed Costs</t>
  </si>
  <si>
    <t xml:space="preserve">     Total Costs</t>
  </si>
  <si>
    <t>Cost per lb of</t>
  </si>
  <si>
    <t>Marginal Returns per head</t>
  </si>
  <si>
    <t>gain sold ($/cwt)</t>
  </si>
  <si>
    <t xml:space="preserve">     Feed Costs</t>
  </si>
  <si>
    <r>
      <t>Note:</t>
    </r>
    <r>
      <rPr>
        <sz val="10"/>
        <color theme="1"/>
        <rFont val="Arial"/>
        <family val="2"/>
      </rPr>
      <t xml:space="preserve"> This budget is only a guide and is not intended as an in-depth study of the cost of production of this industry. Interpretation and utilization of this information is the responsibility of the user. No liability for decisions based on this publication is assumed. </t>
    </r>
  </si>
  <si>
    <t>Year</t>
  </si>
  <si>
    <t>Production Input</t>
  </si>
  <si>
    <t>Input Type</t>
  </si>
  <si>
    <t>Actual Cost</t>
  </si>
  <si>
    <t>Estimated cost</t>
  </si>
  <si>
    <t xml:space="preserve">Year </t>
  </si>
  <si>
    <t>Month</t>
  </si>
  <si>
    <t>Input breakdown</t>
  </si>
  <si>
    <t>Count</t>
  </si>
  <si>
    <t xml:space="preserve">Input Cost </t>
  </si>
  <si>
    <t>Revenue</t>
  </si>
  <si>
    <t>Operating Profit</t>
  </si>
  <si>
    <t>Cost Type</t>
  </si>
  <si>
    <t>Month 1</t>
  </si>
  <si>
    <t>OPS</t>
  </si>
  <si>
    <t>Barley Silage</t>
  </si>
  <si>
    <t>Grass Hay</t>
  </si>
  <si>
    <t>Supplement</t>
  </si>
  <si>
    <t>Other Operations</t>
  </si>
  <si>
    <t>Straw</t>
  </si>
  <si>
    <t>Veterinary Medicine &amp; Supplies</t>
  </si>
  <si>
    <t>Annual Fuel &amp; Repair Costs</t>
  </si>
  <si>
    <t>Utilities</t>
  </si>
  <si>
    <t>Marketing &amp; Transportation</t>
  </si>
  <si>
    <t>Insurance</t>
  </si>
  <si>
    <t>Manure Removal</t>
  </si>
  <si>
    <t>Random</t>
  </si>
  <si>
    <t>Sum</t>
  </si>
  <si>
    <t>Barn &amp; Office Supplies</t>
  </si>
  <si>
    <t>Death Loss</t>
  </si>
  <si>
    <t>Interest</t>
  </si>
  <si>
    <t>Fixed</t>
  </si>
  <si>
    <t>FX</t>
  </si>
  <si>
    <t>Month 2</t>
  </si>
  <si>
    <t>Month 3</t>
  </si>
  <si>
    <t>Month 4</t>
  </si>
  <si>
    <t>Month 5</t>
  </si>
  <si>
    <t>Month 6</t>
  </si>
  <si>
    <t>REVENUE</t>
  </si>
  <si>
    <t>Month 7</t>
  </si>
  <si>
    <t>OPERATING PROFIT</t>
  </si>
  <si>
    <t>Month 8</t>
  </si>
  <si>
    <t>(All)</t>
  </si>
  <si>
    <t>Excluding the cost of Feeder Cattle</t>
  </si>
  <si>
    <t>Row Labels</t>
  </si>
  <si>
    <t xml:space="preserve">Sum of Input Cost </t>
  </si>
  <si>
    <t>Sum of Input Cost 2</t>
  </si>
  <si>
    <t>Sum of Input Cost 3</t>
  </si>
  <si>
    <t>X</t>
  </si>
  <si>
    <t>Y</t>
  </si>
  <si>
    <t>Amount</t>
  </si>
  <si>
    <t>Max</t>
  </si>
  <si>
    <t>Without Max</t>
  </si>
  <si>
    <t>Quantity</t>
  </si>
  <si>
    <t>Quantity %</t>
  </si>
  <si>
    <t>Sum of Revenue</t>
  </si>
  <si>
    <t>Input</t>
  </si>
  <si>
    <t>Output</t>
  </si>
  <si>
    <t>Average monthly Income</t>
  </si>
  <si>
    <t>Sum of Operating Profit</t>
  </si>
  <si>
    <t>Sum of operating profit</t>
  </si>
  <si>
    <t>Per head Cost</t>
  </si>
  <si>
    <t>Per head Profit</t>
  </si>
  <si>
    <t>Column Labels</t>
  </si>
  <si>
    <t>Cost</t>
  </si>
  <si>
    <t>Percentage</t>
  </si>
  <si>
    <t>Grand Total</t>
  </si>
  <si>
    <t>Input Cost</t>
  </si>
  <si>
    <t>Heads</t>
  </si>
  <si>
    <t>`</t>
  </si>
  <si>
    <t>Feedlot Finishing Cost Summary  November,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</si>
</sst>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164" formatCode="&quot;$&quot;#,##0;\-&quot;$&quot;#,##0"/>
    <numFmt numFmtId="165" formatCode="&quot;$&quot;#,##0.00;\-&quot;$&quot;#,##0.00"/>
    <numFmt numFmtId="166" formatCode="&quot;$&quot;#,##0.00"/>
    <numFmt numFmtId="167" formatCode="#,##0.0"/>
    <numFmt numFmtId="168" formatCode="&quot;$&quot;#,##0"/>
    <numFmt numFmtId="169" formatCode="0.0"/>
    <numFmt numFmtId="170" formatCode="0.0%"/>
    <numFmt numFmtId="171" formatCode="&quot;$&quot;#,##0.000;\-&quot;$&quot;#,##0.000"/>
    <numFmt numFmtId="172" formatCode="&quot;$&quot;#,##0.00000;\-&quot;$&quot;#,##0.00000"/>
    <numFmt numFmtId="173" formatCode="&quot;$&quot;#,##0.0000"/>
    <numFmt numFmtId="174" formatCode="&quot;$&quot;#,##0.0;\-&quot;$&quot;#,##0.0"/>
  </numFmts>
  <fonts count="48">
    <font>
      <sz val="12"/>
      <color rgb="FF000000"/>
      <name val="Calibri"/>
      <scheme val="minor"/>
    </font>
    <font>
      <sz val="12"/>
      <color rgb="FF000000"/>
      <name val="Calibri"/>
      <family val="2"/>
      <scheme val="minor"/>
    </font>
    <font>
      <sz val="12"/>
      <color theme="1"/>
      <name val="Arial"/>
      <family val="2"/>
    </font>
    <font>
      <b/>
      <sz val="14"/>
      <color theme="0"/>
      <name val="Arial"/>
      <family val="2"/>
    </font>
    <font>
      <sz val="12"/>
      <name val="Arial"/>
      <family val="2"/>
    </font>
    <font>
      <b/>
      <sz val="12"/>
      <color theme="1"/>
      <name val="Arial"/>
      <family val="2"/>
    </font>
    <font>
      <b/>
      <u/>
      <sz val="12"/>
      <color theme="1"/>
      <name val="Arial"/>
      <family val="2"/>
    </font>
    <font>
      <b/>
      <sz val="12"/>
      <color rgb="FF0000FF"/>
      <name val="Arial"/>
      <family val="2"/>
    </font>
    <font>
      <sz val="12"/>
      <color rgb="FFFF0000"/>
      <name val="Arial"/>
      <family val="2"/>
    </font>
    <font>
      <b/>
      <sz val="12"/>
      <color rgb="FFFF0000"/>
      <name val="Arial"/>
      <family val="2"/>
    </font>
    <font>
      <b/>
      <u/>
      <sz val="12"/>
      <color rgb="FF0000FF"/>
      <name val="Arial"/>
      <family val="2"/>
    </font>
    <font>
      <b/>
      <sz val="14"/>
      <color rgb="FF000080"/>
      <name val="Arial"/>
      <family val="2"/>
    </font>
    <font>
      <u/>
      <sz val="12"/>
      <color theme="1"/>
      <name val="Arial"/>
      <family val="2"/>
    </font>
    <font>
      <b/>
      <sz val="14"/>
      <color theme="1"/>
      <name val="Arial"/>
      <family val="2"/>
    </font>
    <font>
      <u/>
      <sz val="14"/>
      <color theme="1"/>
      <name val="Arial"/>
      <family val="2"/>
    </font>
    <font>
      <sz val="12"/>
      <color rgb="FF0000FF"/>
      <name val="Arial"/>
      <family val="2"/>
    </font>
    <font>
      <u/>
      <sz val="12"/>
      <color rgb="FF0000FF"/>
      <name val="Arial"/>
      <family val="2"/>
    </font>
    <font>
      <b/>
      <i/>
      <sz val="12"/>
      <color theme="1"/>
      <name val="Arial"/>
      <family val="2"/>
    </font>
    <font>
      <sz val="14"/>
      <color theme="1"/>
      <name val="Arial"/>
      <family val="2"/>
    </font>
    <font>
      <b/>
      <sz val="10"/>
      <color theme="1"/>
      <name val="Arial"/>
      <family val="2"/>
    </font>
    <font>
      <b/>
      <u/>
      <sz val="11"/>
      <color theme="10"/>
      <name val="Arial"/>
      <family val="2"/>
    </font>
    <font>
      <b/>
      <sz val="11"/>
      <color theme="1"/>
      <name val="Arial"/>
      <family val="2"/>
    </font>
    <font>
      <sz val="11"/>
      <color theme="1"/>
      <name val="Arial"/>
      <family val="2"/>
    </font>
    <font>
      <b/>
      <sz val="16"/>
      <color theme="0"/>
      <name val="Arial"/>
      <family val="2"/>
    </font>
    <font>
      <b/>
      <sz val="16"/>
      <color rgb="FF000080"/>
      <name val="Arial"/>
      <family val="2"/>
    </font>
    <font>
      <b/>
      <sz val="12"/>
      <color theme="0"/>
      <name val="Arial"/>
      <family val="2"/>
    </font>
    <font>
      <b/>
      <u/>
      <sz val="11"/>
      <color theme="1"/>
      <name val="Arial"/>
      <family val="2"/>
    </font>
    <font>
      <sz val="10"/>
      <color theme="1"/>
      <name val="Arial"/>
      <family val="2"/>
    </font>
    <font>
      <b/>
      <sz val="12"/>
      <color rgb="FF000000"/>
      <name val="Calibri"/>
      <family val="2"/>
      <scheme val="minor"/>
    </font>
    <font>
      <sz val="12"/>
      <color rgb="FF000000"/>
      <name val="Avenir  "/>
    </font>
    <font>
      <sz val="12"/>
      <color rgb="FF000000"/>
      <name val="Avenir"/>
    </font>
    <font>
      <sz val="12"/>
      <color theme="0"/>
      <name val="Calibri"/>
      <family val="2"/>
      <scheme val="minor"/>
    </font>
    <font>
      <sz val="12"/>
      <color rgb="FF000000"/>
      <name val="Avenir Next LT Pro Light"/>
      <family val="2"/>
    </font>
    <font>
      <sz val="12"/>
      <color rgb="FF000000"/>
      <name val="Agency FB"/>
      <family val="2"/>
    </font>
    <font>
      <b/>
      <u/>
      <sz val="12"/>
      <color theme="1"/>
      <name val="Calibri"/>
      <family val="2"/>
      <scheme val="minor"/>
    </font>
    <font>
      <u/>
      <sz val="12"/>
      <color rgb="FF000000"/>
      <name val="Calibri"/>
      <family val="2"/>
      <scheme val="minor"/>
    </font>
    <font>
      <b/>
      <sz val="14"/>
      <color theme="0"/>
      <name val="Avenir  "/>
    </font>
    <font>
      <b/>
      <sz val="14"/>
      <color rgb="FFFF0000"/>
      <name val="Avenir  "/>
    </font>
    <font>
      <sz val="8"/>
      <name val="Calibri"/>
      <family val="2"/>
      <scheme val="minor"/>
    </font>
    <font>
      <b/>
      <sz val="12"/>
      <color rgb="FFC00000"/>
      <name val="Arial"/>
      <family val="2"/>
    </font>
    <font>
      <b/>
      <sz val="12"/>
      <color theme="0"/>
      <name val="Calibri"/>
      <family val="2"/>
      <scheme val="minor"/>
    </font>
    <font>
      <sz val="9"/>
      <color indexed="81"/>
      <name val="Tahoma"/>
      <family val="2"/>
    </font>
    <font>
      <b/>
      <sz val="9"/>
      <color indexed="81"/>
      <name val="Tahoma"/>
      <family val="2"/>
    </font>
    <font>
      <b/>
      <sz val="12"/>
      <name val="Avenir Next LT Pro"/>
      <family val="2"/>
    </font>
    <font>
      <b/>
      <sz val="10"/>
      <color rgb="FFFFFFFF"/>
      <name val="Avenir Next LT Pro"/>
      <family val="2"/>
    </font>
    <font>
      <b/>
      <sz val="12"/>
      <color rgb="FFC00000"/>
      <name val="Avenir Next LT Pro"/>
      <family val="2"/>
    </font>
    <font>
      <b/>
      <sz val="12"/>
      <color theme="1"/>
      <name val="Calibri"/>
      <family val="2"/>
      <scheme val="minor"/>
    </font>
    <font>
      <sz val="9"/>
      <color theme="1"/>
      <name val="Arial"/>
      <family val="2"/>
    </font>
  </fonts>
  <fills count="16">
    <fill>
      <patternFill patternType="none"/>
    </fill>
    <fill>
      <patternFill patternType="gray125"/>
    </fill>
    <fill>
      <patternFill patternType="solid">
        <fgColor theme="1"/>
        <bgColor theme="1"/>
      </patternFill>
    </fill>
    <fill>
      <patternFill patternType="solid">
        <fgColor theme="1"/>
        <bgColor indexed="64"/>
      </patternFill>
    </fill>
    <fill>
      <patternFill patternType="solid">
        <fgColor rgb="FF070E25"/>
        <bgColor indexed="64"/>
      </patternFill>
    </fill>
    <fill>
      <gradientFill degree="90">
        <stop position="0">
          <color theme="0"/>
        </stop>
        <stop position="1">
          <color theme="4" tint="-0.49803155613879818"/>
        </stop>
      </gradientFill>
    </fill>
    <fill>
      <patternFill patternType="solid">
        <fgColor theme="3" tint="-0.249977111117893"/>
        <bgColor indexed="64"/>
      </patternFill>
    </fill>
    <fill>
      <gradientFill degree="270">
        <stop position="0">
          <color theme="0"/>
        </stop>
        <stop position="1">
          <color rgb="FF7030A0"/>
        </stop>
      </gradientFill>
    </fill>
    <fill>
      <gradientFill degree="90">
        <stop position="0">
          <color theme="0"/>
        </stop>
        <stop position="1">
          <color rgb="FF7030A0"/>
        </stop>
      </gradientFill>
    </fill>
    <fill>
      <gradientFill degree="180">
        <stop position="0">
          <color theme="0"/>
        </stop>
        <stop position="1">
          <color rgb="FFDC25FA"/>
        </stop>
      </gradientFill>
    </fill>
    <fill>
      <gradientFill>
        <stop position="0">
          <color theme="0"/>
        </stop>
        <stop position="0.5">
          <color rgb="FFDC25FA"/>
        </stop>
        <stop position="1">
          <color theme="0"/>
        </stop>
      </gradientFill>
    </fill>
    <fill>
      <gradientFill>
        <stop position="0">
          <color theme="0"/>
        </stop>
        <stop position="1">
          <color rgb="FFDC25FA"/>
        </stop>
      </gradientFill>
    </fill>
    <fill>
      <gradientFill degree="45">
        <stop position="0">
          <color theme="0"/>
        </stop>
        <stop position="0.5">
          <color rgb="FFF86EB0"/>
        </stop>
        <stop position="1">
          <color theme="0"/>
        </stop>
      </gradientFill>
    </fill>
    <fill>
      <gradientFill degree="135">
        <stop position="0">
          <color theme="0"/>
        </stop>
        <stop position="0.5">
          <color rgb="FFF86EB0"/>
        </stop>
        <stop position="1">
          <color theme="0"/>
        </stop>
      </gradientFill>
    </fill>
    <fill>
      <patternFill patternType="solid">
        <fgColor theme="2" tint="-0.249977111117893"/>
        <bgColor theme="0" tint="-0.14999847407452621"/>
      </patternFill>
    </fill>
    <fill>
      <patternFill patternType="solid">
        <fgColor theme="2" tint="-0.249977111117893"/>
        <bgColor indexed="64"/>
      </patternFill>
    </fill>
  </fills>
  <borders count="8">
    <border>
      <left/>
      <right/>
      <top/>
      <bottom/>
      <diagonal/>
    </border>
    <border>
      <left/>
      <right/>
      <top/>
      <bottom style="thin">
        <color rgb="FF000000"/>
      </bottom>
      <diagonal/>
    </border>
    <border>
      <left/>
      <right/>
      <top style="thin">
        <color rgb="FF000000"/>
      </top>
      <bottom style="thin">
        <color rgb="FF000000"/>
      </bottom>
      <diagonal/>
    </border>
    <border>
      <left/>
      <right/>
      <top style="thin">
        <color rgb="FF000000"/>
      </top>
      <bottom/>
      <diagonal/>
    </border>
    <border>
      <left/>
      <right/>
      <top/>
      <bottom style="double">
        <color rgb="FF000000"/>
      </bottom>
      <diagonal/>
    </border>
    <border>
      <left/>
      <right/>
      <top/>
      <bottom style="thin">
        <color indexed="64"/>
      </bottom>
      <diagonal/>
    </border>
    <border>
      <left/>
      <right/>
      <top/>
      <bottom style="thin">
        <color theme="0" tint="-0.34998626667073579"/>
      </bottom>
      <diagonal/>
    </border>
    <border>
      <left/>
      <right/>
      <top style="thin">
        <color theme="0" tint="-0.34998626667073579"/>
      </top>
      <bottom/>
      <diagonal/>
    </border>
  </borders>
  <cellStyleXfs count="3">
    <xf numFmtId="164" fontId="0" fillId="0" borderId="0"/>
    <xf numFmtId="44" fontId="1" fillId="0" borderId="0" applyFont="0" applyFill="0" applyBorder="0" applyAlignment="0" applyProtection="0"/>
    <xf numFmtId="9" fontId="1" fillId="0" borderId="0" applyFont="0" applyFill="0" applyBorder="0" applyAlignment="0" applyProtection="0"/>
  </cellStyleXfs>
  <cellXfs count="203">
    <xf numFmtId="164" fontId="0" fillId="0" borderId="0" xfId="0"/>
    <xf numFmtId="164" fontId="2" fillId="0" borderId="0" xfId="0" applyFont="1"/>
    <xf numFmtId="164" fontId="5" fillId="0" borderId="0" xfId="0" applyFont="1"/>
    <xf numFmtId="5" fontId="5" fillId="0" borderId="0" xfId="0" applyNumberFormat="1" applyFont="1"/>
    <xf numFmtId="164" fontId="6" fillId="0" borderId="0" xfId="0" applyFont="1" applyAlignment="1">
      <alignment horizontal="right"/>
    </xf>
    <xf numFmtId="5" fontId="2" fillId="0" borderId="0" xfId="0" applyNumberFormat="1" applyFont="1"/>
    <xf numFmtId="38" fontId="7" fillId="0" borderId="0" xfId="0" applyNumberFormat="1" applyFont="1"/>
    <xf numFmtId="165" fontId="2" fillId="0" borderId="0" xfId="0" applyNumberFormat="1" applyFont="1"/>
    <xf numFmtId="40" fontId="7" fillId="0" borderId="0" xfId="0" applyNumberFormat="1" applyFont="1"/>
    <xf numFmtId="8" fontId="7" fillId="0" borderId="0" xfId="0" applyNumberFormat="1" applyFont="1"/>
    <xf numFmtId="7" fontId="7" fillId="0" borderId="0" xfId="0" applyNumberFormat="1" applyFont="1"/>
    <xf numFmtId="7" fontId="2" fillId="0" borderId="0" xfId="0" applyNumberFormat="1" applyFont="1"/>
    <xf numFmtId="38" fontId="2" fillId="0" borderId="0" xfId="0" applyNumberFormat="1" applyFont="1"/>
    <xf numFmtId="164" fontId="5" fillId="0" borderId="0" xfId="0" applyFont="1" applyAlignment="1">
      <alignment horizontal="center"/>
    </xf>
    <xf numFmtId="164" fontId="5" fillId="0" borderId="0" xfId="0" applyFont="1" applyAlignment="1">
      <alignment horizontal="right"/>
    </xf>
    <xf numFmtId="164" fontId="6" fillId="0" borderId="0" xfId="0" applyFont="1" applyAlignment="1">
      <alignment horizontal="center"/>
    </xf>
    <xf numFmtId="166" fontId="2" fillId="0" borderId="0" xfId="0" applyNumberFormat="1" applyFont="1"/>
    <xf numFmtId="165" fontId="6" fillId="0" borderId="0" xfId="0" applyNumberFormat="1" applyFont="1" applyAlignment="1">
      <alignment horizontal="right"/>
    </xf>
    <xf numFmtId="165" fontId="7" fillId="0" borderId="0" xfId="0" applyNumberFormat="1" applyFont="1"/>
    <xf numFmtId="3" fontId="2" fillId="0" borderId="0" xfId="0" applyNumberFormat="1" applyFont="1"/>
    <xf numFmtId="4" fontId="7" fillId="0" borderId="0" xfId="0" applyNumberFormat="1" applyFont="1"/>
    <xf numFmtId="4" fontId="2" fillId="0" borderId="0" xfId="0" applyNumberFormat="1" applyFont="1"/>
    <xf numFmtId="166" fontId="7" fillId="0" borderId="0" xfId="0" applyNumberFormat="1" applyFont="1"/>
    <xf numFmtId="164" fontId="8" fillId="0" borderId="0" xfId="0" applyFont="1"/>
    <xf numFmtId="164" fontId="9" fillId="0" borderId="0" xfId="0" applyFont="1"/>
    <xf numFmtId="3" fontId="7" fillId="0" borderId="0" xfId="0" applyNumberFormat="1" applyFont="1"/>
    <xf numFmtId="38" fontId="5" fillId="0" borderId="0" xfId="0" applyNumberFormat="1" applyFont="1"/>
    <xf numFmtId="1" fontId="2" fillId="0" borderId="0" xfId="0" applyNumberFormat="1" applyFont="1"/>
    <xf numFmtId="167" fontId="2" fillId="0" borderId="0" xfId="0" applyNumberFormat="1" applyFont="1"/>
    <xf numFmtId="5" fontId="5" fillId="0" borderId="0" xfId="0" applyNumberFormat="1" applyFont="1" applyAlignment="1">
      <alignment horizontal="right"/>
    </xf>
    <xf numFmtId="7" fontId="5" fillId="0" borderId="0" xfId="0" applyNumberFormat="1" applyFont="1" applyAlignment="1">
      <alignment horizontal="right"/>
    </xf>
    <xf numFmtId="3" fontId="5" fillId="0" borderId="0" xfId="0" applyNumberFormat="1" applyFont="1" applyAlignment="1">
      <alignment horizontal="right"/>
    </xf>
    <xf numFmtId="5" fontId="6" fillId="0" borderId="0" xfId="0" applyNumberFormat="1" applyFont="1" applyAlignment="1">
      <alignment horizontal="right"/>
    </xf>
    <xf numFmtId="7" fontId="6" fillId="0" borderId="0" xfId="0" applyNumberFormat="1" applyFont="1" applyAlignment="1">
      <alignment horizontal="right"/>
    </xf>
    <xf numFmtId="3" fontId="6" fillId="0" borderId="0" xfId="0" applyNumberFormat="1" applyFont="1" applyAlignment="1">
      <alignment horizontal="right"/>
    </xf>
    <xf numFmtId="6" fontId="7" fillId="0" borderId="0" xfId="0" applyNumberFormat="1" applyFont="1"/>
    <xf numFmtId="6" fontId="10" fillId="0" borderId="0" xfId="0" applyNumberFormat="1" applyFont="1"/>
    <xf numFmtId="6" fontId="5" fillId="0" borderId="0" xfId="0" applyNumberFormat="1" applyFont="1"/>
    <xf numFmtId="164" fontId="6" fillId="0" borderId="0" xfId="0" applyFont="1"/>
    <xf numFmtId="164" fontId="2" fillId="0" borderId="1" xfId="0" applyFont="1" applyBorder="1"/>
    <xf numFmtId="0" fontId="2" fillId="0" borderId="0" xfId="0" applyNumberFormat="1" applyFont="1"/>
    <xf numFmtId="164" fontId="12" fillId="0" borderId="0" xfId="0" applyFont="1"/>
    <xf numFmtId="166" fontId="12" fillId="0" borderId="0" xfId="0" applyNumberFormat="1" applyFont="1"/>
    <xf numFmtId="0" fontId="12" fillId="0" borderId="0" xfId="0" applyNumberFormat="1" applyFont="1"/>
    <xf numFmtId="166" fontId="5" fillId="0" borderId="0" xfId="0" applyNumberFormat="1" applyFont="1"/>
    <xf numFmtId="0" fontId="5" fillId="0" borderId="0" xfId="0" applyNumberFormat="1" applyFont="1"/>
    <xf numFmtId="4" fontId="12" fillId="0" borderId="0" xfId="0" applyNumberFormat="1" applyFont="1"/>
    <xf numFmtId="164" fontId="5" fillId="0" borderId="1" xfId="0" applyFont="1" applyBorder="1"/>
    <xf numFmtId="3" fontId="12" fillId="0" borderId="0" xfId="0" applyNumberFormat="1" applyFont="1"/>
    <xf numFmtId="168" fontId="2" fillId="0" borderId="0" xfId="0" applyNumberFormat="1" applyFont="1"/>
    <xf numFmtId="5" fontId="2" fillId="0" borderId="1" xfId="0" applyNumberFormat="1" applyFont="1" applyBorder="1"/>
    <xf numFmtId="5" fontId="12" fillId="0" borderId="0" xfId="0" applyNumberFormat="1" applyFont="1"/>
    <xf numFmtId="6" fontId="2" fillId="0" borderId="0" xfId="0" applyNumberFormat="1" applyFont="1"/>
    <xf numFmtId="165" fontId="5" fillId="0" borderId="0" xfId="0" applyNumberFormat="1" applyFont="1"/>
    <xf numFmtId="164" fontId="14" fillId="0" borderId="0" xfId="0" applyFont="1" applyAlignment="1">
      <alignment horizontal="center"/>
    </xf>
    <xf numFmtId="164" fontId="15" fillId="0" borderId="0" xfId="0" applyFont="1"/>
    <xf numFmtId="164" fontId="15" fillId="0" borderId="0" xfId="0" applyFont="1" applyAlignment="1">
      <alignment horizontal="left"/>
    </xf>
    <xf numFmtId="168" fontId="12" fillId="0" borderId="0" xfId="0" applyNumberFormat="1" applyFont="1"/>
    <xf numFmtId="164" fontId="16" fillId="0" borderId="0" xfId="0" applyFont="1"/>
    <xf numFmtId="168" fontId="5" fillId="0" borderId="0" xfId="0" applyNumberFormat="1" applyFont="1"/>
    <xf numFmtId="164" fontId="2" fillId="0" borderId="2" xfId="0" applyFont="1" applyBorder="1"/>
    <xf numFmtId="164" fontId="6" fillId="0" borderId="0" xfId="0" applyFont="1" applyAlignment="1">
      <alignment horizontal="left"/>
    </xf>
    <xf numFmtId="164" fontId="2" fillId="0" borderId="0" xfId="0" applyFont="1" applyAlignment="1">
      <alignment horizontal="left"/>
    </xf>
    <xf numFmtId="164" fontId="17" fillId="0" borderId="0" xfId="0" applyFont="1" applyAlignment="1">
      <alignment horizontal="center"/>
    </xf>
    <xf numFmtId="164" fontId="12" fillId="0" borderId="0" xfId="0" applyFont="1" applyAlignment="1">
      <alignment horizontal="left"/>
    </xf>
    <xf numFmtId="1" fontId="12" fillId="0" borderId="0" xfId="0" applyNumberFormat="1" applyFont="1"/>
    <xf numFmtId="164" fontId="5" fillId="0" borderId="0" xfId="0" applyFont="1" applyAlignment="1">
      <alignment horizontal="left"/>
    </xf>
    <xf numFmtId="164" fontId="2" fillId="0" borderId="0" xfId="0" applyFont="1" applyAlignment="1">
      <alignment horizontal="center"/>
    </xf>
    <xf numFmtId="164" fontId="12" fillId="0" borderId="0" xfId="0" applyFont="1" applyAlignment="1">
      <alignment horizontal="center"/>
    </xf>
    <xf numFmtId="165" fontId="6" fillId="0" borderId="0" xfId="0" applyNumberFormat="1" applyFont="1"/>
    <xf numFmtId="3" fontId="18" fillId="0" borderId="0" xfId="0" applyNumberFormat="1" applyFont="1"/>
    <xf numFmtId="0" fontId="19" fillId="0" borderId="0" xfId="0" applyNumberFormat="1" applyFont="1" applyAlignment="1">
      <alignment horizontal="right"/>
    </xf>
    <xf numFmtId="0" fontId="2" fillId="0" borderId="1" xfId="0" applyNumberFormat="1" applyFont="1" applyBorder="1"/>
    <xf numFmtId="0" fontId="5" fillId="0" borderId="1" xfId="0" applyNumberFormat="1" applyFont="1" applyBorder="1"/>
    <xf numFmtId="169" fontId="2" fillId="0" borderId="0" xfId="0" applyNumberFormat="1" applyFont="1"/>
    <xf numFmtId="0" fontId="5" fillId="0" borderId="3" xfId="0" applyNumberFormat="1" applyFont="1" applyBorder="1" applyAlignment="1">
      <alignment horizontal="left" vertical="center"/>
    </xf>
    <xf numFmtId="0" fontId="19" fillId="0" borderId="3" xfId="0" applyNumberFormat="1" applyFont="1" applyBorder="1"/>
    <xf numFmtId="0" fontId="2" fillId="0" borderId="3" xfId="0" applyNumberFormat="1" applyFont="1" applyBorder="1"/>
    <xf numFmtId="0" fontId="10" fillId="0" borderId="0" xfId="0" applyNumberFormat="1" applyFont="1" applyAlignment="1">
      <alignment horizontal="left" vertical="top"/>
    </xf>
    <xf numFmtId="5" fontId="20" fillId="0" borderId="0" xfId="0" applyNumberFormat="1" applyFont="1"/>
    <xf numFmtId="0" fontId="21" fillId="0" borderId="0" xfId="0" applyNumberFormat="1" applyFont="1"/>
    <xf numFmtId="3" fontId="20" fillId="0" borderId="0" xfId="0" applyNumberFormat="1" applyFont="1"/>
    <xf numFmtId="166" fontId="20" fillId="0" borderId="0" xfId="0" applyNumberFormat="1" applyFont="1" applyAlignment="1">
      <alignment vertical="top"/>
    </xf>
    <xf numFmtId="166" fontId="22" fillId="0" borderId="0" xfId="0" applyNumberFormat="1" applyFont="1" applyAlignment="1">
      <alignment vertical="top"/>
    </xf>
    <xf numFmtId="0" fontId="22" fillId="0" borderId="0" xfId="0" applyNumberFormat="1" applyFont="1"/>
    <xf numFmtId="0" fontId="20" fillId="0" borderId="0" xfId="0" applyNumberFormat="1" applyFont="1" applyAlignment="1">
      <alignment vertical="top"/>
    </xf>
    <xf numFmtId="166" fontId="21" fillId="0" borderId="0" xfId="0" applyNumberFormat="1" applyFont="1" applyAlignment="1">
      <alignment vertical="top"/>
    </xf>
    <xf numFmtId="5" fontId="22" fillId="0" borderId="0" xfId="0" applyNumberFormat="1" applyFont="1"/>
    <xf numFmtId="3" fontId="22" fillId="0" borderId="0" xfId="0" applyNumberFormat="1" applyFont="1"/>
    <xf numFmtId="3" fontId="21" fillId="0" borderId="0" xfId="0" applyNumberFormat="1" applyFont="1"/>
    <xf numFmtId="5" fontId="21" fillId="0" borderId="0" xfId="0" applyNumberFormat="1" applyFont="1"/>
    <xf numFmtId="0" fontId="5" fillId="0" borderId="0" xfId="0" applyNumberFormat="1" applyFont="1" applyAlignment="1">
      <alignment horizontal="right"/>
    </xf>
    <xf numFmtId="164" fontId="24" fillId="0" borderId="0" xfId="0" applyFont="1" applyAlignment="1">
      <alignment horizontal="center"/>
    </xf>
    <xf numFmtId="164" fontId="12" fillId="0" borderId="0" xfId="0" applyFont="1" applyAlignment="1">
      <alignment horizontal="right"/>
    </xf>
    <xf numFmtId="166" fontId="6" fillId="0" borderId="0" xfId="0" applyNumberFormat="1" applyFont="1"/>
    <xf numFmtId="168" fontId="6" fillId="0" borderId="0" xfId="0" applyNumberFormat="1" applyFont="1"/>
    <xf numFmtId="164" fontId="11" fillId="0" borderId="4" xfId="0" applyFont="1" applyBorder="1" applyAlignment="1">
      <alignment horizontal="center"/>
    </xf>
    <xf numFmtId="3" fontId="5" fillId="0" borderId="0" xfId="0" applyNumberFormat="1" applyFont="1"/>
    <xf numFmtId="3" fontId="5" fillId="0" borderId="0" xfId="0" applyNumberFormat="1" applyFont="1" applyAlignment="1">
      <alignment horizontal="center"/>
    </xf>
    <xf numFmtId="3" fontId="5" fillId="0" borderId="1" xfId="0" applyNumberFormat="1" applyFont="1" applyBorder="1"/>
    <xf numFmtId="166" fontId="5" fillId="0" borderId="1" xfId="0" applyNumberFormat="1" applyFont="1" applyBorder="1"/>
    <xf numFmtId="168" fontId="5" fillId="0" borderId="1" xfId="0" applyNumberFormat="1" applyFont="1" applyBorder="1"/>
    <xf numFmtId="3" fontId="5" fillId="0" borderId="5" xfId="0" applyNumberFormat="1" applyFont="1" applyBorder="1"/>
    <xf numFmtId="164" fontId="21" fillId="0" borderId="0" xfId="0" applyFont="1" applyAlignment="1">
      <alignment horizontal="center"/>
    </xf>
    <xf numFmtId="164" fontId="26" fillId="0" borderId="0" xfId="0" applyFont="1" applyAlignment="1">
      <alignment horizontal="center"/>
    </xf>
    <xf numFmtId="164" fontId="21" fillId="0" borderId="0" xfId="0" applyFont="1" applyAlignment="1">
      <alignment horizontal="right"/>
    </xf>
    <xf numFmtId="3" fontId="21" fillId="0" borderId="0" xfId="0" applyNumberFormat="1" applyFont="1" applyAlignment="1">
      <alignment horizontal="center"/>
    </xf>
    <xf numFmtId="164" fontId="26" fillId="0" borderId="0" xfId="0" applyFont="1" applyAlignment="1">
      <alignment horizontal="right"/>
    </xf>
    <xf numFmtId="3" fontId="26" fillId="0" borderId="0" xfId="0" applyNumberFormat="1" applyFont="1" applyAlignment="1">
      <alignment horizontal="center"/>
    </xf>
    <xf numFmtId="166" fontId="2" fillId="0" borderId="0" xfId="0" applyNumberFormat="1" applyFont="1" applyAlignment="1">
      <alignment horizontal="right"/>
    </xf>
    <xf numFmtId="7" fontId="2" fillId="0" borderId="0" xfId="0" applyNumberFormat="1" applyFont="1" applyAlignment="1">
      <alignment horizontal="right"/>
    </xf>
    <xf numFmtId="1" fontId="28" fillId="0" borderId="0" xfId="0" applyNumberFormat="1" applyFont="1" applyAlignment="1">
      <alignment horizontal="left"/>
    </xf>
    <xf numFmtId="164" fontId="28" fillId="0" borderId="0" xfId="0" applyFont="1"/>
    <xf numFmtId="1" fontId="0" fillId="0" borderId="0" xfId="0" applyNumberFormat="1"/>
    <xf numFmtId="164" fontId="28" fillId="0" borderId="0" xfId="0" applyFont="1" applyAlignment="1">
      <alignment horizontal="left"/>
    </xf>
    <xf numFmtId="0" fontId="28" fillId="0" borderId="0" xfId="0" applyNumberFormat="1" applyFont="1"/>
    <xf numFmtId="1" fontId="0" fillId="0" borderId="0" xfId="0" applyNumberFormat="1" applyAlignment="1">
      <alignment horizontal="left"/>
    </xf>
    <xf numFmtId="164" fontId="0" fillId="0" borderId="0" xfId="0" applyAlignment="1">
      <alignment vertical="top"/>
    </xf>
    <xf numFmtId="1" fontId="0" fillId="0" borderId="0" xfId="0" applyNumberFormat="1" applyAlignment="1">
      <alignment horizontal="left" vertical="top"/>
    </xf>
    <xf numFmtId="164" fontId="0" fillId="0" borderId="0" xfId="0" applyAlignment="1">
      <alignment horizontal="left"/>
    </xf>
    <xf numFmtId="0" fontId="0" fillId="0" borderId="0" xfId="1" applyNumberFormat="1" applyFont="1"/>
    <xf numFmtId="164" fontId="0" fillId="3" borderId="0" xfId="0" applyFill="1"/>
    <xf numFmtId="164" fontId="29" fillId="3" borderId="0" xfId="0" applyFont="1" applyFill="1"/>
    <xf numFmtId="164" fontId="30" fillId="3" borderId="0" xfId="0" applyFont="1" applyFill="1"/>
    <xf numFmtId="164" fontId="0" fillId="0" borderId="0" xfId="0" pivotButton="1"/>
    <xf numFmtId="0" fontId="0" fillId="0" borderId="0" xfId="0" applyNumberFormat="1"/>
    <xf numFmtId="0" fontId="31" fillId="3" borderId="0" xfId="0" applyNumberFormat="1" applyFont="1" applyFill="1"/>
    <xf numFmtId="9" fontId="0" fillId="0" borderId="0" xfId="2" applyFont="1"/>
    <xf numFmtId="164" fontId="32" fillId="3" borderId="0" xfId="0" applyFont="1" applyFill="1"/>
    <xf numFmtId="164" fontId="33" fillId="3" borderId="0" xfId="0" applyFont="1" applyFill="1"/>
    <xf numFmtId="10" fontId="0" fillId="0" borderId="0" xfId="0" applyNumberFormat="1"/>
    <xf numFmtId="9" fontId="31" fillId="3" borderId="0" xfId="2" applyFont="1" applyFill="1"/>
    <xf numFmtId="164" fontId="0" fillId="0" borderId="0" xfId="0" applyAlignment="1">
      <alignment horizontal="left" indent="1"/>
    </xf>
    <xf numFmtId="10" fontId="0" fillId="0" borderId="0" xfId="2" applyNumberFormat="1" applyFont="1"/>
    <xf numFmtId="0" fontId="31" fillId="3" borderId="0" xfId="0" applyNumberFormat="1" applyFont="1" applyFill="1" applyAlignment="1">
      <alignment horizontal="center"/>
    </xf>
    <xf numFmtId="164" fontId="34" fillId="0" borderId="6" xfId="0" applyFont="1" applyBorder="1" applyAlignment="1">
      <alignment horizontal="left"/>
    </xf>
    <xf numFmtId="164" fontId="35" fillId="0" borderId="0" xfId="0" applyFont="1" applyAlignment="1">
      <alignment horizontal="left" indent="1"/>
    </xf>
    <xf numFmtId="164" fontId="36" fillId="4" borderId="0" xfId="0" applyFont="1" applyFill="1" applyAlignment="1">
      <alignment horizontal="center" vertical="center"/>
    </xf>
    <xf numFmtId="10" fontId="2" fillId="0" borderId="0" xfId="0" applyNumberFormat="1" applyFont="1"/>
    <xf numFmtId="9" fontId="2" fillId="0" borderId="0" xfId="2" applyFont="1"/>
    <xf numFmtId="0" fontId="28" fillId="0" borderId="0" xfId="0" applyNumberFormat="1" applyFont="1" applyAlignment="1">
      <alignment horizontal="left"/>
    </xf>
    <xf numFmtId="170" fontId="0" fillId="0" borderId="0" xfId="2" applyNumberFormat="1" applyFont="1"/>
    <xf numFmtId="0" fontId="37" fillId="5" borderId="0" xfId="0" applyNumberFormat="1" applyFont="1" applyFill="1" applyAlignment="1">
      <alignment horizontal="center" vertical="center"/>
    </xf>
    <xf numFmtId="38" fontId="39" fillId="0" borderId="0" xfId="0" applyNumberFormat="1" applyFont="1"/>
    <xf numFmtId="0" fontId="40" fillId="6" borderId="0" xfId="0" applyNumberFormat="1" applyFont="1" applyFill="1" applyAlignment="1">
      <alignment horizontal="left"/>
    </xf>
    <xf numFmtId="164" fontId="31" fillId="6" borderId="0" xfId="0" applyFont="1" applyFill="1"/>
    <xf numFmtId="164" fontId="40" fillId="6" borderId="0" xfId="0" applyFont="1" applyFill="1"/>
    <xf numFmtId="1" fontId="40" fillId="6" borderId="0" xfId="0" applyNumberFormat="1" applyFont="1" applyFill="1" applyAlignment="1">
      <alignment horizontal="left"/>
    </xf>
    <xf numFmtId="0" fontId="31" fillId="6" borderId="0" xfId="0" applyNumberFormat="1" applyFont="1" applyFill="1"/>
    <xf numFmtId="1" fontId="6" fillId="0" borderId="0" xfId="0" applyNumberFormat="1" applyFont="1" applyAlignment="1">
      <alignment horizontal="right"/>
    </xf>
    <xf numFmtId="1" fontId="6" fillId="0" borderId="0" xfId="0" applyNumberFormat="1" applyFont="1"/>
    <xf numFmtId="164" fontId="5" fillId="3" borderId="0" xfId="0" applyFont="1" applyFill="1"/>
    <xf numFmtId="0" fontId="5" fillId="0" borderId="5" xfId="0" applyNumberFormat="1" applyFont="1" applyBorder="1"/>
    <xf numFmtId="164" fontId="5" fillId="0" borderId="5" xfId="0" applyFont="1" applyBorder="1"/>
    <xf numFmtId="1" fontId="1" fillId="0" borderId="0" xfId="0" applyNumberFormat="1" applyFont="1" applyAlignment="1">
      <alignment horizontal="left"/>
    </xf>
    <xf numFmtId="164" fontId="1" fillId="0" borderId="0" xfId="0" applyFont="1"/>
    <xf numFmtId="171" fontId="0" fillId="0" borderId="0" xfId="0" applyNumberFormat="1"/>
    <xf numFmtId="173" fontId="2" fillId="0" borderId="0" xfId="0" applyNumberFormat="1" applyFont="1"/>
    <xf numFmtId="173" fontId="12" fillId="0" borderId="0" xfId="0" applyNumberFormat="1" applyFont="1"/>
    <xf numFmtId="173" fontId="5" fillId="0" borderId="0" xfId="0" applyNumberFormat="1" applyFont="1"/>
    <xf numFmtId="173" fontId="14" fillId="0" borderId="0" xfId="0" applyNumberFormat="1" applyFont="1" applyAlignment="1">
      <alignment horizontal="center"/>
    </xf>
    <xf numFmtId="173" fontId="6" fillId="0" borderId="0" xfId="0" applyNumberFormat="1" applyFont="1" applyAlignment="1">
      <alignment horizontal="left"/>
    </xf>
    <xf numFmtId="173" fontId="5" fillId="0" borderId="0" xfId="0" applyNumberFormat="1" applyFont="1" applyAlignment="1">
      <alignment horizontal="right"/>
    </xf>
    <xf numFmtId="173" fontId="5" fillId="0" borderId="0" xfId="0" applyNumberFormat="1" applyFont="1" applyAlignment="1">
      <alignment horizontal="center"/>
    </xf>
    <xf numFmtId="173" fontId="0" fillId="0" borderId="0" xfId="0" applyNumberFormat="1"/>
    <xf numFmtId="172" fontId="2" fillId="0" borderId="0" xfId="0" applyNumberFormat="1" applyFont="1"/>
    <xf numFmtId="0" fontId="0" fillId="3" borderId="0" xfId="0" applyNumberFormat="1" applyFill="1"/>
    <xf numFmtId="9" fontId="0" fillId="3" borderId="0" xfId="0" applyNumberFormat="1" applyFill="1"/>
    <xf numFmtId="0" fontId="0" fillId="3" borderId="0" xfId="2" applyNumberFormat="1" applyFont="1" applyFill="1"/>
    <xf numFmtId="164" fontId="44" fillId="3" borderId="0" xfId="0" applyFont="1" applyFill="1"/>
    <xf numFmtId="164" fontId="40" fillId="3" borderId="0" xfId="0" applyFont="1" applyFill="1" applyAlignment="1">
      <alignment horizontal="left" vertical="center"/>
    </xf>
    <xf numFmtId="164" fontId="0" fillId="0" borderId="0" xfId="0" applyAlignment="1">
      <alignment horizontal="left" vertical="center"/>
    </xf>
    <xf numFmtId="170" fontId="0" fillId="0" borderId="0" xfId="2" applyNumberFormat="1" applyFont="1" applyAlignment="1">
      <alignment horizontal="left" vertical="center"/>
    </xf>
    <xf numFmtId="164" fontId="46" fillId="14" borderId="7" xfId="0" applyFont="1" applyFill="1" applyBorder="1" applyAlignment="1">
      <alignment horizontal="left" vertical="top"/>
    </xf>
    <xf numFmtId="164" fontId="28" fillId="15" borderId="0" xfId="0" applyFont="1" applyFill="1" applyAlignment="1">
      <alignment horizontal="left" vertical="top"/>
    </xf>
    <xf numFmtId="170" fontId="28" fillId="15" borderId="0" xfId="2" applyNumberFormat="1" applyFont="1" applyFill="1" applyAlignment="1">
      <alignment horizontal="left" vertical="top"/>
    </xf>
    <xf numFmtId="164" fontId="47" fillId="0" borderId="0" xfId="0" applyFont="1"/>
    <xf numFmtId="164" fontId="3" fillId="2" borderId="0" xfId="0" applyFont="1" applyFill="1" applyAlignment="1">
      <alignment horizontal="center"/>
    </xf>
    <xf numFmtId="0" fontId="4" fillId="0" borderId="0" xfId="0" applyNumberFormat="1" applyFont="1"/>
    <xf numFmtId="164" fontId="5" fillId="0" borderId="0" xfId="0" applyFont="1" applyAlignment="1">
      <alignment horizontal="center"/>
    </xf>
    <xf numFmtId="164" fontId="0" fillId="0" borderId="0" xfId="0"/>
    <xf numFmtId="164" fontId="11" fillId="0" borderId="0" xfId="0" applyFont="1" applyAlignment="1">
      <alignment horizontal="center" wrapText="1"/>
    </xf>
    <xf numFmtId="165" fontId="13" fillId="0" borderId="0" xfId="0" applyNumberFormat="1" applyFont="1" applyAlignment="1">
      <alignment horizontal="center"/>
    </xf>
    <xf numFmtId="164" fontId="6" fillId="0" borderId="0" xfId="0" applyFont="1"/>
    <xf numFmtId="4" fontId="3" fillId="2" borderId="0" xfId="0" applyNumberFormat="1" applyFont="1" applyFill="1" applyAlignment="1">
      <alignment horizontal="center"/>
    </xf>
    <xf numFmtId="164" fontId="23" fillId="2" borderId="0" xfId="0" applyFont="1" applyFill="1" applyAlignment="1">
      <alignment horizontal="center"/>
    </xf>
    <xf numFmtId="164" fontId="2" fillId="0" borderId="0" xfId="0" applyFont="1" applyAlignment="1">
      <alignment horizontal="center"/>
    </xf>
    <xf numFmtId="3" fontId="25" fillId="2" borderId="0" xfId="0" applyNumberFormat="1" applyFont="1" applyFill="1" applyAlignment="1">
      <alignment horizontal="center"/>
    </xf>
    <xf numFmtId="164" fontId="19" fillId="0" borderId="0" xfId="0" applyFont="1" applyAlignment="1">
      <alignment horizontal="left" vertical="top" wrapText="1"/>
    </xf>
    <xf numFmtId="164" fontId="40" fillId="6" borderId="0" xfId="0" applyFont="1" applyFill="1" applyAlignment="1">
      <alignment horizontal="center"/>
    </xf>
    <xf numFmtId="164" fontId="43" fillId="12" borderId="0" xfId="0" applyFont="1" applyFill="1" applyAlignment="1">
      <alignment horizontal="center" vertical="center"/>
    </xf>
    <xf numFmtId="38" fontId="45" fillId="13" borderId="0" xfId="0" applyNumberFormat="1" applyFont="1" applyFill="1" applyAlignment="1">
      <alignment horizontal="center" vertical="center"/>
    </xf>
    <xf numFmtId="0" fontId="45" fillId="13" borderId="0" xfId="0" applyNumberFormat="1" applyFont="1" applyFill="1" applyAlignment="1">
      <alignment horizontal="center" vertical="center"/>
    </xf>
    <xf numFmtId="0" fontId="43" fillId="7" borderId="0" xfId="0" applyNumberFormat="1" applyFont="1" applyFill="1" applyAlignment="1">
      <alignment horizontal="center" vertical="center"/>
    </xf>
    <xf numFmtId="164" fontId="43" fillId="7" borderId="0" xfId="0" applyFont="1" applyFill="1" applyAlignment="1">
      <alignment horizontal="center" vertical="center"/>
    </xf>
    <xf numFmtId="0" fontId="43" fillId="8" borderId="0" xfId="0" applyNumberFormat="1" applyFont="1" applyFill="1" applyAlignment="1">
      <alignment horizontal="center" vertical="center"/>
    </xf>
    <xf numFmtId="174" fontId="43" fillId="9" borderId="0" xfId="0" applyNumberFormat="1" applyFont="1" applyFill="1" applyAlignment="1">
      <alignment horizontal="center" vertical="center"/>
    </xf>
    <xf numFmtId="164" fontId="43" fillId="10" borderId="0" xfId="0" applyFont="1" applyFill="1" applyAlignment="1">
      <alignment horizontal="center" vertical="center"/>
    </xf>
    <xf numFmtId="164" fontId="43" fillId="11" borderId="0" xfId="0" applyFont="1" applyFill="1" applyAlignment="1">
      <alignment horizontal="center" vertical="center"/>
    </xf>
    <xf numFmtId="0" fontId="43" fillId="9" borderId="0" xfId="2" applyNumberFormat="1" applyFont="1" applyFill="1" applyAlignment="1">
      <alignment horizontal="center" vertical="center"/>
    </xf>
    <xf numFmtId="0" fontId="43" fillId="10" borderId="0" xfId="2" applyNumberFormat="1" applyFont="1" applyFill="1" applyAlignment="1">
      <alignment horizontal="center" vertical="center"/>
    </xf>
    <xf numFmtId="0" fontId="43" fillId="11" borderId="0" xfId="2" applyNumberFormat="1" applyFont="1" applyFill="1" applyAlignment="1">
      <alignment horizontal="center" vertical="center"/>
    </xf>
    <xf numFmtId="164" fontId="0" fillId="0" borderId="0" xfId="0" applyNumberFormat="1"/>
  </cellXfs>
  <cellStyles count="3">
    <cellStyle name="Currency" xfId="1" builtinId="4"/>
    <cellStyle name="Normal" xfId="0" builtinId="0"/>
    <cellStyle name="Percent" xfId="2" builtinId="5"/>
  </cellStyles>
  <dxfs count="19">
    <dxf>
      <numFmt numFmtId="171" formatCode="&quot;$&quot;#,##0.000;\-&quot;$&quot;#,##0.000"/>
    </dxf>
    <dxf>
      <numFmt numFmtId="171" formatCode="&quot;$&quot;#,##0.000;\-&quot;$&quot;#,##0.000"/>
    </dxf>
    <dxf>
      <numFmt numFmtId="171" formatCode="&quot;$&quot;#,##0.000;\-&quot;$&quot;#,##0.000"/>
    </dxf>
    <dxf>
      <numFmt numFmtId="171" formatCode="&quot;$&quot;#,##0.000;\-&quot;$&quot;#,##0.00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numFmt numFmtId="1" formatCode="0"/>
      <alignment horizontal="left" vertical="top" textRotation="0" wrapText="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2"/>
        <color rgb="FF000000"/>
        <name val="Calibri"/>
        <family val="2"/>
        <scheme val="minor"/>
      </font>
      <alignment horizontal="left" vertical="bottom" textRotation="0" wrapText="0" indent="0" justifyLastLine="0" shrinkToFit="0" readingOrder="0"/>
    </dxf>
    <dxf>
      <alignment horizontal="general" vertical="top" textRotation="0" wrapText="0" indent="0" justifyLastLine="0" shrinkToFit="0" readingOrder="0"/>
    </dxf>
    <dxf>
      <numFmt numFmtId="1" formatCode="0"/>
      <alignment horizontal="left" vertical="bottom" textRotation="0" wrapText="0" indent="0" justifyLastLine="0" shrinkToFit="0" readingOrder="0"/>
    </dxf>
    <dxf>
      <font>
        <b/>
        <i val="0"/>
        <strike val="0"/>
        <condense val="0"/>
        <extend val="0"/>
        <outline val="0"/>
        <shadow val="0"/>
        <u val="none"/>
        <vertAlign val="baseline"/>
        <sz val="12"/>
        <color rgb="FF000000"/>
        <name val="Calibri"/>
        <family val="2"/>
        <scheme val="minor"/>
      </font>
    </dxf>
    <dxf>
      <font>
        <sz val="11"/>
        <color theme="0"/>
        <name val="Avenir Next LT Pro"/>
        <family val="2"/>
        <scheme val="none"/>
      </font>
      <fill>
        <patternFill patternType="solid">
          <fgColor auto="1"/>
          <bgColor theme="1"/>
        </patternFill>
      </fill>
      <border diagonalUp="0" diagonalDown="0">
        <left/>
        <right/>
        <top/>
        <bottom/>
        <vertical/>
        <horizontal/>
      </border>
    </dxf>
  </dxfs>
  <tableStyles count="1" defaultTableStyle="TableStyleMedium2" defaultPivotStyle="PivotStyleLight16">
    <tableStyle name="Feedlot" pivot="0" table="0" count="3" xr9:uid="{CF639346-DE55-4030-AC4A-C8685E027835}">
      <tableStyleElement type="wholeTable" dxfId="18"/>
    </tableStyle>
  </tableStyles>
  <colors>
    <mruColors>
      <color rgb="FFC240D8"/>
      <color rgb="FFFEE6FC"/>
      <color rgb="FF194AFE"/>
      <color rgb="FFF888ED"/>
      <color rgb="FFF86EB0"/>
      <color rgb="FFDC25FA"/>
      <color rgb="FF98F8F2"/>
      <color rgb="FF9947F7"/>
      <color rgb="FFED7D31"/>
      <color rgb="FF100D83"/>
    </mruColors>
  </colors>
  <extLst>
    <ext xmlns:x14="http://schemas.microsoft.com/office/spreadsheetml/2009/9/main" uri="{46F421CA-312F-682f-3DD2-61675219B42D}">
      <x14:dxfs count="2">
        <dxf>
          <fill>
            <gradientFill type="path">
              <stop position="0">
                <color rgb="FFDD115E"/>
              </stop>
              <stop position="1">
                <color rgb="FF7417BD"/>
              </stop>
            </gradientFill>
          </fill>
        </dxf>
        <dxf>
          <fill>
            <gradientFill type="path" left="0.5" right="0.5" top="0.5" bottom="0.5">
              <stop position="0">
                <color theme="0"/>
              </stop>
              <stop position="1">
                <color theme="3"/>
              </stop>
            </gradientFill>
          </fill>
        </dxf>
      </x14:dxfs>
    </ext>
    <ext xmlns:x14="http://schemas.microsoft.com/office/spreadsheetml/2009/9/main" uri="{EB79DEF2-80B8-43e5-95BD-54CBDDF9020C}">
      <x14:slicerStyles defaultSlicerStyle="Feedlot">
        <x14:slicerStyle name="Feedlot">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4854786660861953E-4"/>
          <c:y val="1.6411218889045827E-3"/>
          <c:w val="0.99945145586034712"/>
          <c:h val="0.99835886228580251"/>
        </c:manualLayout>
      </c:layout>
      <c:bubbleChart>
        <c:varyColors val="0"/>
        <c:ser>
          <c:idx val="0"/>
          <c:order val="0"/>
          <c:tx>
            <c:v>Production</c:v>
          </c:tx>
          <c:spPr>
            <a:gradFill flip="none" rotWithShape="1">
              <a:gsLst>
                <a:gs pos="35000">
                  <a:srgbClr val="100D83"/>
                </a:gs>
                <a:gs pos="80000">
                  <a:srgbClr val="7417BD"/>
                </a:gs>
              </a:gsLst>
              <a:path path="circle">
                <a:fillToRect l="100000" t="100000"/>
              </a:path>
              <a:tileRect r="-100000" b="-100000"/>
            </a:gradFill>
            <a:ln w="25400">
              <a:noFill/>
            </a:ln>
            <a:effectLst>
              <a:outerShdw blurRad="127000" sx="108000" sy="108000" algn="ctr" rotWithShape="0">
                <a:srgbClr val="7417BD">
                  <a:alpha val="80000"/>
                </a:srgbClr>
              </a:outerShdw>
            </a:effectLst>
          </c:spPr>
          <c:invertIfNegative val="0"/>
          <c:dLbls>
            <c:dLbl>
              <c:idx val="0"/>
              <c:tx>
                <c:rich>
                  <a:bodyPr/>
                  <a:lstStyle/>
                  <a:p>
                    <a:fld id="{6467C5FE-21BB-416D-AD7A-B4C87E7CB867}"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layout>
                    <c:manualLayout>
                      <c:w val="0.12164836951527273"/>
                      <c:h val="2.732027798832275E-2"/>
                    </c:manualLayout>
                  </c15:layout>
                  <c15:dlblFieldTable/>
                  <c15:showDataLabelsRange val="1"/>
                </c:ext>
                <c:ext xmlns:c16="http://schemas.microsoft.com/office/drawing/2014/chart" uri="{C3380CC4-5D6E-409C-BE32-E72D297353CC}">
                  <c16:uniqueId val="{00000000-C67B-48F2-A03C-39D1050F9123}"/>
                </c:ext>
              </c:extLst>
            </c:dLbl>
            <c:dLbl>
              <c:idx val="1"/>
              <c:tx>
                <c:rich>
                  <a:bodyPr/>
                  <a:lstStyle/>
                  <a:p>
                    <a:fld id="{C012F73F-7874-4640-8068-4D334BA4FC76}"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layout>
                    <c:manualLayout>
                      <c:w val="0.11044434556215188"/>
                      <c:h val="2.3254726918331664E-2"/>
                    </c:manualLayout>
                  </c15:layout>
                  <c15:dlblFieldTable/>
                  <c15:showDataLabelsRange val="1"/>
                </c:ext>
                <c:ext xmlns:c16="http://schemas.microsoft.com/office/drawing/2014/chart" uri="{C3380CC4-5D6E-409C-BE32-E72D297353CC}">
                  <c16:uniqueId val="{00000001-C67B-48F2-A03C-39D1050F9123}"/>
                </c:ext>
              </c:extLst>
            </c:dLbl>
            <c:dLbl>
              <c:idx val="2"/>
              <c:tx>
                <c:rich>
                  <a:bodyPr/>
                  <a:lstStyle/>
                  <a:p>
                    <a:fld id="{D987567A-5C77-4D15-BC47-71E98A88D3CF}"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layout>
                    <c:manualLayout>
                      <c:w val="7.9204334228687237E-2"/>
                      <c:h val="2.732027798832275E-2"/>
                    </c:manualLayout>
                  </c15:layout>
                  <c15:dlblFieldTable/>
                  <c15:showDataLabelsRange val="1"/>
                </c:ext>
                <c:ext xmlns:c16="http://schemas.microsoft.com/office/drawing/2014/chart" uri="{C3380CC4-5D6E-409C-BE32-E72D297353CC}">
                  <c16:uniqueId val="{00000002-C67B-48F2-A03C-39D1050F9123}"/>
                </c:ext>
              </c:extLst>
            </c:dLbl>
            <c:dLbl>
              <c:idx val="3"/>
              <c:tx>
                <c:rich>
                  <a:bodyPr/>
                  <a:lstStyle/>
                  <a:p>
                    <a:fld id="{13AD6915-25A6-4DBF-A8F0-14F77BB7267D}"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layout>
                    <c:manualLayout>
                      <c:w val="9.3708188504634152E-2"/>
                      <c:h val="2.3254726918331664E-2"/>
                    </c:manualLayout>
                  </c15:layout>
                  <c15:dlblFieldTable/>
                  <c15:showDataLabelsRange val="1"/>
                </c:ext>
                <c:ext xmlns:c16="http://schemas.microsoft.com/office/drawing/2014/chart" uri="{C3380CC4-5D6E-409C-BE32-E72D297353CC}">
                  <c16:uniqueId val="{00000003-C67B-48F2-A03C-39D1050F9123}"/>
                </c:ext>
              </c:extLst>
            </c:dLbl>
            <c:dLbl>
              <c:idx val="4"/>
              <c:tx>
                <c:rich>
                  <a:bodyPr/>
                  <a:lstStyle/>
                  <a:p>
                    <a:fld id="{D86C0F9E-FB47-4268-AE74-DB759544AB62}"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layout>
                    <c:manualLayout>
                      <c:w val="9.9313209619230375E-2"/>
                      <c:h val="2.732027798832275E-2"/>
                    </c:manualLayout>
                  </c15:layout>
                  <c15:dlblFieldTable/>
                  <c15:showDataLabelsRange val="1"/>
                </c:ext>
                <c:ext xmlns:c16="http://schemas.microsoft.com/office/drawing/2014/chart" uri="{C3380CC4-5D6E-409C-BE32-E72D297353CC}">
                  <c16:uniqueId val="{00000004-C67B-48F2-A03C-39D1050F9123}"/>
                </c:ext>
              </c:extLst>
            </c:dLbl>
            <c:dLbl>
              <c:idx val="5"/>
              <c:tx>
                <c:rich>
                  <a:bodyPr/>
                  <a:lstStyle/>
                  <a:p>
                    <a:fld id="{1AF1DD31-A0D9-4189-9603-71962E476FFC}"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layout>
                    <c:manualLayout>
                      <c:w val="9.2033961418456087E-2"/>
                      <c:h val="2.732027798832275E-2"/>
                    </c:manualLayout>
                  </c15:layout>
                  <c15:dlblFieldTable/>
                  <c15:showDataLabelsRange val="1"/>
                </c:ext>
                <c:ext xmlns:c16="http://schemas.microsoft.com/office/drawing/2014/chart" uri="{C3380CC4-5D6E-409C-BE32-E72D297353CC}">
                  <c16:uniqueId val="{00000005-C67B-48F2-A03C-39D1050F9123}"/>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'Pivot Tables'!$I$4:$I$9</c:f>
              <c:numCache>
                <c:formatCode>General</c:formatCode>
                <c:ptCount val="6"/>
                <c:pt idx="0">
                  <c:v>1</c:v>
                </c:pt>
                <c:pt idx="1">
                  <c:v>7</c:v>
                </c:pt>
                <c:pt idx="2">
                  <c:v>4</c:v>
                </c:pt>
                <c:pt idx="3">
                  <c:v>2</c:v>
                </c:pt>
                <c:pt idx="4">
                  <c:v>6</c:v>
                </c:pt>
                <c:pt idx="5">
                  <c:v>4</c:v>
                </c:pt>
              </c:numCache>
            </c:numRef>
          </c:xVal>
          <c:yVal>
            <c:numRef>
              <c:f>'Pivot Tables'!$J$4:$J$9</c:f>
              <c:numCache>
                <c:formatCode>General</c:formatCode>
                <c:ptCount val="6"/>
                <c:pt idx="0">
                  <c:v>4</c:v>
                </c:pt>
                <c:pt idx="1">
                  <c:v>4</c:v>
                </c:pt>
                <c:pt idx="2">
                  <c:v>2</c:v>
                </c:pt>
                <c:pt idx="3">
                  <c:v>8</c:v>
                </c:pt>
                <c:pt idx="4">
                  <c:v>7</c:v>
                </c:pt>
                <c:pt idx="5">
                  <c:v>9</c:v>
                </c:pt>
              </c:numCache>
            </c:numRef>
          </c:yVal>
          <c:bubbleSize>
            <c:numRef>
              <c:f>'Pivot Tables'!$K$4:$K$9</c:f>
              <c:numCache>
                <c:formatCode>"$"#,##0;\-"$"#,##0</c:formatCode>
                <c:ptCount val="6"/>
                <c:pt idx="0">
                  <c:v>49605</c:v>
                </c:pt>
                <c:pt idx="1">
                  <c:v>1835200</c:v>
                </c:pt>
                <c:pt idx="2">
                  <c:v>10034</c:v>
                </c:pt>
                <c:pt idx="3">
                  <c:v>78348</c:v>
                </c:pt>
                <c:pt idx="4">
                  <c:v>40000</c:v>
                </c:pt>
                <c:pt idx="5">
                  <c:v>111768.99999999999</c:v>
                </c:pt>
              </c:numCache>
            </c:numRef>
          </c:bubbleSize>
          <c:bubble3D val="0"/>
          <c:extLst>
            <c:ext xmlns:c15="http://schemas.microsoft.com/office/drawing/2012/chart" uri="{02D57815-91ED-43cb-92C2-25804820EDAC}">
              <c15:datalabelsRange>
                <c15:f>'Pivot Tables'!$K$4:$K$9</c15:f>
                <c15:dlblRangeCache>
                  <c:ptCount val="6"/>
                  <c:pt idx="0">
                    <c:v>$49,605</c:v>
                  </c:pt>
                  <c:pt idx="1">
                    <c:v>$1,835,200</c:v>
                  </c:pt>
                  <c:pt idx="2">
                    <c:v>$10,034</c:v>
                  </c:pt>
                  <c:pt idx="3">
                    <c:v>$78,348</c:v>
                  </c:pt>
                  <c:pt idx="4">
                    <c:v>$40,000</c:v>
                  </c:pt>
                  <c:pt idx="5">
                    <c:v>$111,769</c:v>
                  </c:pt>
                </c15:dlblRangeCache>
              </c15:datalabelsRange>
            </c:ext>
            <c:ext xmlns:c16="http://schemas.microsoft.com/office/drawing/2014/chart" uri="{C3380CC4-5D6E-409C-BE32-E72D297353CC}">
              <c16:uniqueId val="{00000006-C67B-48F2-A03C-39D1050F9123}"/>
            </c:ext>
          </c:extLst>
        </c:ser>
        <c:ser>
          <c:idx val="1"/>
          <c:order val="1"/>
          <c:tx>
            <c:v>Max</c:v>
          </c:tx>
          <c:spPr>
            <a:gradFill>
              <a:gsLst>
                <a:gs pos="35000">
                  <a:srgbClr val="DD115E"/>
                </a:gs>
                <a:gs pos="80000">
                  <a:srgbClr val="7417BD"/>
                </a:gs>
              </a:gsLst>
              <a:path path="circle">
                <a:fillToRect l="100000" t="100000"/>
              </a:path>
            </a:gradFill>
            <a:ln w="25400">
              <a:noFill/>
            </a:ln>
            <a:effectLst>
              <a:outerShdw blurRad="152400" sx="105000" sy="105000" algn="ctr" rotWithShape="0">
                <a:srgbClr val="DD115E">
                  <a:alpha val="88000"/>
                </a:srgbClr>
              </a:outerShdw>
            </a:effectLst>
          </c:spPr>
          <c:invertIfNegative val="0"/>
          <c:xVal>
            <c:numRef>
              <c:f>'Pivot Tables'!$I$4:$I$9</c:f>
              <c:numCache>
                <c:formatCode>General</c:formatCode>
                <c:ptCount val="6"/>
                <c:pt idx="0">
                  <c:v>1</c:v>
                </c:pt>
                <c:pt idx="1">
                  <c:v>7</c:v>
                </c:pt>
                <c:pt idx="2">
                  <c:v>4</c:v>
                </c:pt>
                <c:pt idx="3">
                  <c:v>2</c:v>
                </c:pt>
                <c:pt idx="4">
                  <c:v>6</c:v>
                </c:pt>
                <c:pt idx="5">
                  <c:v>4</c:v>
                </c:pt>
              </c:numCache>
            </c:numRef>
          </c:xVal>
          <c:yVal>
            <c:numRef>
              <c:f>'Pivot Tables'!$J$4:$J$9</c:f>
              <c:numCache>
                <c:formatCode>General</c:formatCode>
                <c:ptCount val="6"/>
                <c:pt idx="0">
                  <c:v>4</c:v>
                </c:pt>
                <c:pt idx="1">
                  <c:v>4</c:v>
                </c:pt>
                <c:pt idx="2">
                  <c:v>2</c:v>
                </c:pt>
                <c:pt idx="3">
                  <c:v>8</c:v>
                </c:pt>
                <c:pt idx="4">
                  <c:v>7</c:v>
                </c:pt>
                <c:pt idx="5">
                  <c:v>9</c:v>
                </c:pt>
              </c:numCache>
            </c:numRef>
          </c:yVal>
          <c:bubbleSize>
            <c:numRef>
              <c:f>'Pivot Tables'!$L$4:$L$9</c:f>
              <c:numCache>
                <c:formatCode>"$"#,##0;\-"$"#,##0</c:formatCode>
                <c:ptCount val="6"/>
                <c:pt idx="0">
                  <c:v>0</c:v>
                </c:pt>
                <c:pt idx="1">
                  <c:v>1835200</c:v>
                </c:pt>
                <c:pt idx="2">
                  <c:v>0</c:v>
                </c:pt>
                <c:pt idx="3">
                  <c:v>0</c:v>
                </c:pt>
                <c:pt idx="4">
                  <c:v>0</c:v>
                </c:pt>
                <c:pt idx="5">
                  <c:v>0</c:v>
                </c:pt>
              </c:numCache>
            </c:numRef>
          </c:bubbleSize>
          <c:bubble3D val="0"/>
          <c:extLst>
            <c:ext xmlns:c16="http://schemas.microsoft.com/office/drawing/2014/chart" uri="{C3380CC4-5D6E-409C-BE32-E72D297353CC}">
              <c16:uniqueId val="{0000000D-C67B-48F2-A03C-39D1050F9123}"/>
            </c:ext>
          </c:extLst>
        </c:ser>
        <c:dLbls>
          <c:showLegendKey val="0"/>
          <c:showVal val="0"/>
          <c:showCatName val="0"/>
          <c:showSerName val="0"/>
          <c:showPercent val="0"/>
          <c:showBubbleSize val="0"/>
        </c:dLbls>
        <c:bubbleScale val="70"/>
        <c:showNegBubbles val="0"/>
        <c:axId val="1403280767"/>
        <c:axId val="1397923055"/>
      </c:bubbleChart>
      <c:valAx>
        <c:axId val="1403280767"/>
        <c:scaling>
          <c:orientation val="minMax"/>
          <c:max val="10"/>
        </c:scaling>
        <c:delete val="1"/>
        <c:axPos val="b"/>
        <c:numFmt formatCode="General" sourceLinked="1"/>
        <c:majorTickMark val="none"/>
        <c:minorTickMark val="none"/>
        <c:tickLblPos val="nextTo"/>
        <c:crossAx val="1397923055"/>
        <c:crosses val="autoZero"/>
        <c:crossBetween val="midCat"/>
      </c:valAx>
      <c:valAx>
        <c:axId val="1397923055"/>
        <c:scaling>
          <c:orientation val="minMax"/>
          <c:max val="10"/>
          <c:min val="0"/>
        </c:scaling>
        <c:delete val="1"/>
        <c:axPos val="l"/>
        <c:numFmt formatCode="General" sourceLinked="1"/>
        <c:majorTickMark val="none"/>
        <c:minorTickMark val="none"/>
        <c:tickLblPos val="nextTo"/>
        <c:crossAx val="140328076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gradFill>
              <a:gsLst>
                <a:gs pos="0">
                  <a:srgbClr val="DC25FA"/>
                </a:gs>
                <a:gs pos="56000">
                  <a:srgbClr val="9947F7"/>
                </a:gs>
              </a:gsLst>
              <a:lin ang="5400000" scaled="0"/>
            </a:gradFill>
            <a:ln w="146050">
              <a:solidFill>
                <a:srgbClr val="000000"/>
              </a:solidFill>
            </a:ln>
          </c:spPr>
          <c:dPt>
            <c:idx val="0"/>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01-42CE-489A-A2B7-DCBE1B0AC07A}"/>
              </c:ext>
            </c:extLst>
          </c:dPt>
          <c:dPt>
            <c:idx val="1"/>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03-42CE-489A-A2B7-DCBE1B0AC07A}"/>
              </c:ext>
            </c:extLst>
          </c:dPt>
          <c:dPt>
            <c:idx val="2"/>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05-42CE-489A-A2B7-DCBE1B0AC07A}"/>
              </c:ext>
            </c:extLst>
          </c:dPt>
          <c:dPt>
            <c:idx val="3"/>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07-42CE-489A-A2B7-DCBE1B0AC07A}"/>
              </c:ext>
            </c:extLst>
          </c:dPt>
          <c:dPt>
            <c:idx val="4"/>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09-42CE-489A-A2B7-DCBE1B0AC07A}"/>
              </c:ext>
            </c:extLst>
          </c:dPt>
          <c:dPt>
            <c:idx val="5"/>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0B-42CE-489A-A2B7-DCBE1B0AC07A}"/>
              </c:ext>
            </c:extLst>
          </c:dPt>
          <c:dPt>
            <c:idx val="6"/>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0D-42CE-489A-A2B7-DCBE1B0AC07A}"/>
              </c:ext>
            </c:extLst>
          </c:dPt>
          <c:dPt>
            <c:idx val="7"/>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0F-42CE-489A-A2B7-DCBE1B0AC07A}"/>
              </c:ext>
            </c:extLst>
          </c:dPt>
          <c:dPt>
            <c:idx val="8"/>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11-42CE-489A-A2B7-DCBE1B0AC07A}"/>
              </c:ext>
            </c:extLst>
          </c:dPt>
          <c:dPt>
            <c:idx val="9"/>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13-42CE-489A-A2B7-DCBE1B0AC07A}"/>
              </c:ext>
            </c:extLst>
          </c:dPt>
          <c:dPt>
            <c:idx val="10"/>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15-42CE-489A-A2B7-DCBE1B0AC07A}"/>
              </c:ext>
            </c:extLst>
          </c:dPt>
          <c:dPt>
            <c:idx val="11"/>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17-42CE-489A-A2B7-DCBE1B0AC07A}"/>
              </c:ext>
            </c:extLst>
          </c:dPt>
          <c:dPt>
            <c:idx val="12"/>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19-42CE-489A-A2B7-DCBE1B0AC07A}"/>
              </c:ext>
            </c:extLst>
          </c:dPt>
          <c:dPt>
            <c:idx val="13"/>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1B-42CE-489A-A2B7-DCBE1B0AC07A}"/>
              </c:ext>
            </c:extLst>
          </c:dPt>
          <c:dPt>
            <c:idx val="14"/>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1D-42CE-489A-A2B7-DCBE1B0AC07A}"/>
              </c:ext>
            </c:extLst>
          </c:dPt>
          <c:dPt>
            <c:idx val="15"/>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1F-42CE-489A-A2B7-DCBE1B0AC07A}"/>
              </c:ext>
            </c:extLst>
          </c:dPt>
          <c:dPt>
            <c:idx val="16"/>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21-42CE-489A-A2B7-DCBE1B0AC07A}"/>
              </c:ext>
            </c:extLst>
          </c:dPt>
          <c:dPt>
            <c:idx val="17"/>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23-42CE-489A-A2B7-DCBE1B0AC07A}"/>
              </c:ext>
            </c:extLst>
          </c:dPt>
          <c:dPt>
            <c:idx val="18"/>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25-42CE-489A-A2B7-DCBE1B0AC07A}"/>
              </c:ext>
            </c:extLst>
          </c:dPt>
          <c:dPt>
            <c:idx val="19"/>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27-42CE-489A-A2B7-DCBE1B0AC07A}"/>
              </c:ext>
            </c:extLst>
          </c:dPt>
          <c:dPt>
            <c:idx val="20"/>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29-42CE-489A-A2B7-DCBE1B0AC07A}"/>
              </c:ext>
            </c:extLst>
          </c:dPt>
          <c:dPt>
            <c:idx val="21"/>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2B-42CE-489A-A2B7-DCBE1B0AC07A}"/>
              </c:ext>
            </c:extLst>
          </c:dPt>
          <c:dPt>
            <c:idx val="22"/>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2D-42CE-489A-A2B7-DCBE1B0AC07A}"/>
              </c:ext>
            </c:extLst>
          </c:dPt>
          <c:dPt>
            <c:idx val="23"/>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2F-42CE-489A-A2B7-DCBE1B0AC07A}"/>
              </c:ext>
            </c:extLst>
          </c:dPt>
          <c:dPt>
            <c:idx val="24"/>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31-42CE-489A-A2B7-DCBE1B0AC07A}"/>
              </c:ext>
            </c:extLst>
          </c:dPt>
          <c:dPt>
            <c:idx val="25"/>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33-42CE-489A-A2B7-DCBE1B0AC07A}"/>
              </c:ext>
            </c:extLst>
          </c:dPt>
          <c:dPt>
            <c:idx val="26"/>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35-42CE-489A-A2B7-DCBE1B0AC07A}"/>
              </c:ext>
            </c:extLst>
          </c:dPt>
          <c:dPt>
            <c:idx val="27"/>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37-42CE-489A-A2B7-DCBE1B0AC07A}"/>
              </c:ext>
            </c:extLst>
          </c:dPt>
          <c:dPt>
            <c:idx val="28"/>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39-42CE-489A-A2B7-DCBE1B0AC07A}"/>
              </c:ext>
            </c:extLst>
          </c:dPt>
          <c:dPt>
            <c:idx val="29"/>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3B-42CE-489A-A2B7-DCBE1B0AC07A}"/>
              </c:ext>
            </c:extLst>
          </c:dPt>
          <c:dPt>
            <c:idx val="30"/>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3D-42CE-489A-A2B7-DCBE1B0AC07A}"/>
              </c:ext>
            </c:extLst>
          </c:dPt>
          <c:dPt>
            <c:idx val="31"/>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3F-42CE-489A-A2B7-DCBE1B0AC07A}"/>
              </c:ext>
            </c:extLst>
          </c:dPt>
          <c:dPt>
            <c:idx val="32"/>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41-42CE-489A-A2B7-DCBE1B0AC07A}"/>
              </c:ext>
            </c:extLst>
          </c:dPt>
          <c:dPt>
            <c:idx val="33"/>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43-42CE-489A-A2B7-DCBE1B0AC07A}"/>
              </c:ext>
            </c:extLst>
          </c:dPt>
          <c:dPt>
            <c:idx val="34"/>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45-42CE-489A-A2B7-DCBE1B0AC07A}"/>
              </c:ext>
            </c:extLst>
          </c:dPt>
          <c:dPt>
            <c:idx val="35"/>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47-42CE-489A-A2B7-DCBE1B0AC07A}"/>
              </c:ext>
            </c:extLst>
          </c:dPt>
          <c:dPt>
            <c:idx val="36"/>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49-42CE-489A-A2B7-DCBE1B0AC07A}"/>
              </c:ext>
            </c:extLst>
          </c:dPt>
          <c:dPt>
            <c:idx val="37"/>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4B-42CE-489A-A2B7-DCBE1B0AC07A}"/>
              </c:ext>
            </c:extLst>
          </c:dPt>
          <c:dPt>
            <c:idx val="38"/>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4D-42CE-489A-A2B7-DCBE1B0AC07A}"/>
              </c:ext>
            </c:extLst>
          </c:dPt>
          <c:dPt>
            <c:idx val="39"/>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4F-42CE-489A-A2B7-DCBE1B0AC07A}"/>
              </c:ext>
            </c:extLst>
          </c:dPt>
          <c:dPt>
            <c:idx val="40"/>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51-42CE-489A-A2B7-DCBE1B0AC07A}"/>
              </c:ext>
            </c:extLst>
          </c:dPt>
          <c:dPt>
            <c:idx val="41"/>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53-42CE-489A-A2B7-DCBE1B0AC07A}"/>
              </c:ext>
            </c:extLst>
          </c:dPt>
          <c:dPt>
            <c:idx val="42"/>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55-42CE-489A-A2B7-DCBE1B0AC07A}"/>
              </c:ext>
            </c:extLst>
          </c:dPt>
          <c:dPt>
            <c:idx val="43"/>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57-42CE-489A-A2B7-DCBE1B0AC07A}"/>
              </c:ext>
            </c:extLst>
          </c:dPt>
          <c:dPt>
            <c:idx val="44"/>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59-42CE-489A-A2B7-DCBE1B0AC07A}"/>
              </c:ext>
            </c:extLst>
          </c:dPt>
          <c:dPt>
            <c:idx val="45"/>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5B-42CE-489A-A2B7-DCBE1B0AC07A}"/>
              </c:ext>
            </c:extLst>
          </c:dPt>
          <c:dPt>
            <c:idx val="46"/>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5D-42CE-489A-A2B7-DCBE1B0AC07A}"/>
              </c:ext>
            </c:extLst>
          </c:dPt>
          <c:dPt>
            <c:idx val="47"/>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5F-42CE-489A-A2B7-DCBE1B0AC07A}"/>
              </c:ext>
            </c:extLst>
          </c:dPt>
          <c:dPt>
            <c:idx val="48"/>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61-42CE-489A-A2B7-DCBE1B0AC07A}"/>
              </c:ext>
            </c:extLst>
          </c:dPt>
          <c:dPt>
            <c:idx val="49"/>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63-42CE-489A-A2B7-DCBE1B0AC07A}"/>
              </c:ext>
            </c:extLst>
          </c:dPt>
          <c:dPt>
            <c:idx val="50"/>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65-42CE-489A-A2B7-DCBE1B0AC07A}"/>
              </c:ext>
            </c:extLst>
          </c:dPt>
          <c:dPt>
            <c:idx val="51"/>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67-42CE-489A-A2B7-DCBE1B0AC07A}"/>
              </c:ext>
            </c:extLst>
          </c:dPt>
          <c:dPt>
            <c:idx val="52"/>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69-42CE-489A-A2B7-DCBE1B0AC07A}"/>
              </c:ext>
            </c:extLst>
          </c:dPt>
          <c:dPt>
            <c:idx val="53"/>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6B-42CE-489A-A2B7-DCBE1B0AC07A}"/>
              </c:ext>
            </c:extLst>
          </c:dPt>
          <c:dPt>
            <c:idx val="54"/>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6D-42CE-489A-A2B7-DCBE1B0AC07A}"/>
              </c:ext>
            </c:extLst>
          </c:dPt>
          <c:dPt>
            <c:idx val="55"/>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6F-42CE-489A-A2B7-DCBE1B0AC07A}"/>
              </c:ext>
            </c:extLst>
          </c:dPt>
          <c:dPt>
            <c:idx val="56"/>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71-42CE-489A-A2B7-DCBE1B0AC07A}"/>
              </c:ext>
            </c:extLst>
          </c:dPt>
          <c:dPt>
            <c:idx val="57"/>
            <c:bubble3D val="0"/>
            <c:spPr>
              <a:gradFill>
                <a:gsLst>
                  <a:gs pos="0">
                    <a:srgbClr val="DC25FA"/>
                  </a:gs>
                  <a:gs pos="56000">
                    <a:srgbClr val="9947F7"/>
                  </a:gs>
                </a:gsLst>
                <a:lin ang="5400000" scaled="0"/>
              </a:gradFill>
              <a:ln w="146050">
                <a:solidFill>
                  <a:srgbClr val="000000"/>
                </a:solidFill>
              </a:ln>
              <a:effectLst/>
            </c:spPr>
            <c:extLst>
              <c:ext xmlns:c16="http://schemas.microsoft.com/office/drawing/2014/chart" uri="{C3380CC4-5D6E-409C-BE32-E72D297353CC}">
                <c16:uniqueId val="{00000073-42CE-489A-A2B7-DCBE1B0AC07A}"/>
              </c:ext>
            </c:extLst>
          </c:dPt>
          <c:val>
            <c:numLit>
              <c:formatCode>General</c:formatCode>
              <c:ptCount val="5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numLit>
          </c:val>
          <c:extLst>
            <c:ext xmlns:c16="http://schemas.microsoft.com/office/drawing/2014/chart" uri="{C3380CC4-5D6E-409C-BE32-E72D297353CC}">
              <c16:uniqueId val="{00000074-42CE-489A-A2B7-DCBE1B0AC07A}"/>
            </c:ext>
          </c:extLst>
        </c:ser>
        <c:dLbls>
          <c:showLegendKey val="0"/>
          <c:showVal val="0"/>
          <c:showCatName val="0"/>
          <c:showSerName val="0"/>
          <c:showPercent val="0"/>
          <c:showBubbleSize val="0"/>
          <c:showLeaderLines val="1"/>
        </c:dLbls>
        <c:firstSliceAng val="0"/>
        <c:holeSize val="50"/>
      </c:doughnutChart>
      <c:doughnutChart>
        <c:varyColors val="1"/>
        <c:ser>
          <c:idx val="1"/>
          <c:order val="1"/>
          <c:tx>
            <c:v>Percentages</c:v>
          </c:tx>
          <c:spPr>
            <a:ln>
              <a:solidFill>
                <a:srgbClr val="070E25"/>
              </a:solidFill>
            </a:ln>
          </c:spPr>
          <c:dPt>
            <c:idx val="0"/>
            <c:bubble3D val="0"/>
            <c:spPr>
              <a:solidFill>
                <a:srgbClr val="98F8F2">
                  <a:alpha val="0"/>
                </a:srgbClr>
              </a:solidFill>
              <a:ln w="19050">
                <a:noFill/>
              </a:ln>
              <a:effectLst/>
            </c:spPr>
            <c:extLst>
              <c:ext xmlns:c16="http://schemas.microsoft.com/office/drawing/2014/chart" uri="{C3380CC4-5D6E-409C-BE32-E72D297353CC}">
                <c16:uniqueId val="{00000076-42CE-489A-A2B7-DCBE1B0AC07A}"/>
              </c:ext>
            </c:extLst>
          </c:dPt>
          <c:dPt>
            <c:idx val="1"/>
            <c:bubble3D val="0"/>
            <c:spPr>
              <a:solidFill>
                <a:schemeClr val="tx1">
                  <a:alpha val="72000"/>
                </a:schemeClr>
              </a:solidFill>
              <a:ln w="19050">
                <a:solidFill>
                  <a:schemeClr val="tx1"/>
                </a:solidFill>
              </a:ln>
              <a:effectLst/>
            </c:spPr>
            <c:extLst>
              <c:ext xmlns:c16="http://schemas.microsoft.com/office/drawing/2014/chart" uri="{C3380CC4-5D6E-409C-BE32-E72D297353CC}">
                <c16:uniqueId val="{00000078-42CE-489A-A2B7-DCBE1B0AC07A}"/>
              </c:ext>
            </c:extLst>
          </c:dPt>
          <c:val>
            <c:numRef>
              <c:f>'Pivot Tables'!$V$4:$W$4</c:f>
              <c:numCache>
                <c:formatCode>0%</c:formatCode>
                <c:ptCount val="2"/>
                <c:pt idx="0">
                  <c:v>0.92092692672736987</c:v>
                </c:pt>
                <c:pt idx="1">
                  <c:v>7.9073073272630134E-2</c:v>
                </c:pt>
              </c:numCache>
            </c:numRef>
          </c:val>
          <c:extLst>
            <c:ext xmlns:c16="http://schemas.microsoft.com/office/drawing/2014/chart" uri="{C3380CC4-5D6E-409C-BE32-E72D297353CC}">
              <c16:uniqueId val="{00000079-42CE-489A-A2B7-DCBE1B0AC07A}"/>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[Feedlot Economics_Updated_VBA.xlsm]Pivot Tables!PivotTable3</c:name>
    <c:fmtId val="10"/>
  </c:pivotSource>
  <c:chart>
    <c:autoTitleDeleted val="0"/>
    <c:pivotFmts>
      <c:pivotFmt>
        <c:idx val="0"/>
        <c:spPr>
          <a:solidFill>
            <a:schemeClr val="accent1"/>
          </a:solidFill>
          <a:ln w="12700"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100000">
                <a:schemeClr val="tx1"/>
              </a:gs>
              <a:gs pos="31000">
                <a:srgbClr val="194AFE"/>
              </a:gs>
            </a:gsLst>
            <a:lin ang="54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100000">
                <a:schemeClr val="tx1"/>
              </a:gs>
              <a:gs pos="31000">
                <a:srgbClr val="194AFE"/>
              </a:gs>
            </a:gsLst>
            <a:lin ang="54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2700"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100000">
                <a:srgbClr val="194AFE">
                  <a:alpha val="0"/>
                </a:srgbClr>
              </a:gs>
              <a:gs pos="32000">
                <a:srgbClr val="194AFE">
                  <a:alpha val="83000"/>
                </a:srgbClr>
              </a:gs>
            </a:gsLst>
            <a:lin ang="54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15875"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1"/>
          <c:order val="1"/>
          <c:tx>
            <c:strRef>
              <c:f>'Pivot Tables'!$AB$3</c:f>
              <c:strCache>
                <c:ptCount val="1"/>
                <c:pt idx="0">
                  <c:v>Sum of Input Cost 2</c:v>
                </c:pt>
              </c:strCache>
            </c:strRef>
          </c:tx>
          <c:spPr>
            <a:gradFill flip="none" rotWithShape="1">
              <a:gsLst>
                <a:gs pos="100000">
                  <a:srgbClr val="194AFE">
                    <a:alpha val="0"/>
                  </a:srgbClr>
                </a:gs>
                <a:gs pos="32000">
                  <a:srgbClr val="194AFE">
                    <a:alpha val="83000"/>
                  </a:srgbClr>
                </a:gs>
              </a:gsLst>
              <a:lin ang="5400000" scaled="0"/>
              <a:tileRect/>
            </a:gradFill>
            <a:ln>
              <a:noFill/>
            </a:ln>
            <a:effectLst/>
          </c:spPr>
          <c:cat>
            <c:strRef>
              <c:f>'Pivot Tables'!$Z$4:$Z$12</c:f>
              <c:strCache>
                <c:ptCount val="8"/>
                <c:pt idx="0">
                  <c:v>Month 1</c:v>
                </c:pt>
                <c:pt idx="1">
                  <c:v>Month 2</c:v>
                </c:pt>
                <c:pt idx="2">
                  <c:v>Month 3</c:v>
                </c:pt>
                <c:pt idx="3">
                  <c:v>Month 4</c:v>
                </c:pt>
                <c:pt idx="4">
                  <c:v>Month 5</c:v>
                </c:pt>
                <c:pt idx="5">
                  <c:v>Month 6</c:v>
                </c:pt>
                <c:pt idx="6">
                  <c:v>Month 7</c:v>
                </c:pt>
                <c:pt idx="7">
                  <c:v>Month 8</c:v>
                </c:pt>
              </c:strCache>
            </c:strRef>
          </c:cat>
          <c:val>
            <c:numRef>
              <c:f>'Pivot Tables'!$AB$4:$AB$12</c:f>
              <c:numCache>
                <c:formatCode>"$"#,##0;\-"$"#,##0</c:formatCode>
                <c:ptCount val="8"/>
                <c:pt idx="0">
                  <c:v>121623.14310630818</c:v>
                </c:pt>
                <c:pt idx="1">
                  <c:v>73358.060591311456</c:v>
                </c:pt>
                <c:pt idx="2">
                  <c:v>253638.86193732367</c:v>
                </c:pt>
                <c:pt idx="3">
                  <c:v>311053.97538166295</c:v>
                </c:pt>
                <c:pt idx="4">
                  <c:v>452358.11240537884</c:v>
                </c:pt>
                <c:pt idx="5">
                  <c:v>375983.61171341466</c:v>
                </c:pt>
                <c:pt idx="6">
                  <c:v>303498.09776101133</c:v>
                </c:pt>
                <c:pt idx="7">
                  <c:v>233442.13710358876</c:v>
                </c:pt>
              </c:numCache>
            </c:numRef>
          </c:val>
          <c:extLst>
            <c:ext xmlns:c16="http://schemas.microsoft.com/office/drawing/2014/chart" uri="{C3380CC4-5D6E-409C-BE32-E72D297353CC}">
              <c16:uniqueId val="{00000000-5E84-4BC2-9DC6-259A3732D143}"/>
            </c:ext>
          </c:extLst>
        </c:ser>
        <c:dLbls>
          <c:showLegendKey val="0"/>
          <c:showVal val="0"/>
          <c:showCatName val="0"/>
          <c:showSerName val="0"/>
          <c:showPercent val="0"/>
          <c:showBubbleSize val="0"/>
        </c:dLbls>
        <c:axId val="1874204159"/>
        <c:axId val="1501350751"/>
      </c:areaChart>
      <c:lineChart>
        <c:grouping val="standard"/>
        <c:varyColors val="0"/>
        <c:ser>
          <c:idx val="0"/>
          <c:order val="0"/>
          <c:tx>
            <c:strRef>
              <c:f>'Pivot Tables'!$AA$3</c:f>
              <c:strCache>
                <c:ptCount val="1"/>
                <c:pt idx="0">
                  <c:v>Sum of Input Cost </c:v>
                </c:pt>
              </c:strCache>
            </c:strRef>
          </c:tx>
          <c:spPr>
            <a:ln w="15875" cap="rnd">
              <a:solidFill>
                <a:srgbClr val="194AFE"/>
              </a:solidFill>
              <a:round/>
            </a:ln>
            <a:effectLst/>
          </c:spPr>
          <c:marker>
            <c:symbol val="none"/>
          </c:marker>
          <c:cat>
            <c:strRef>
              <c:f>'Pivot Tables'!$Z$4:$Z$12</c:f>
              <c:strCache>
                <c:ptCount val="8"/>
                <c:pt idx="0">
                  <c:v>Month 1</c:v>
                </c:pt>
                <c:pt idx="1">
                  <c:v>Month 2</c:v>
                </c:pt>
                <c:pt idx="2">
                  <c:v>Month 3</c:v>
                </c:pt>
                <c:pt idx="3">
                  <c:v>Month 4</c:v>
                </c:pt>
                <c:pt idx="4">
                  <c:v>Month 5</c:v>
                </c:pt>
                <c:pt idx="5">
                  <c:v>Month 6</c:v>
                </c:pt>
                <c:pt idx="6">
                  <c:v>Month 7</c:v>
                </c:pt>
                <c:pt idx="7">
                  <c:v>Month 8</c:v>
                </c:pt>
              </c:strCache>
            </c:strRef>
          </c:cat>
          <c:val>
            <c:numRef>
              <c:f>'Pivot Tables'!$AA$4:$AA$12</c:f>
              <c:numCache>
                <c:formatCode>"$"#,##0;\-"$"#,##0</c:formatCode>
                <c:ptCount val="8"/>
                <c:pt idx="0">
                  <c:v>121623.14310630818</c:v>
                </c:pt>
                <c:pt idx="1">
                  <c:v>73358.060591311456</c:v>
                </c:pt>
                <c:pt idx="2">
                  <c:v>253638.86193732367</c:v>
                </c:pt>
                <c:pt idx="3">
                  <c:v>311053.97538166295</c:v>
                </c:pt>
                <c:pt idx="4">
                  <c:v>452358.11240537884</c:v>
                </c:pt>
                <c:pt idx="5">
                  <c:v>375983.61171341466</c:v>
                </c:pt>
                <c:pt idx="6">
                  <c:v>303498.09776101133</c:v>
                </c:pt>
                <c:pt idx="7">
                  <c:v>233442.13710358876</c:v>
                </c:pt>
              </c:numCache>
            </c:numRef>
          </c:val>
          <c:smooth val="0"/>
          <c:extLst>
            <c:ext xmlns:c16="http://schemas.microsoft.com/office/drawing/2014/chart" uri="{C3380CC4-5D6E-409C-BE32-E72D297353CC}">
              <c16:uniqueId val="{00000001-5E84-4BC2-9DC6-259A3732D143}"/>
            </c:ext>
          </c:extLst>
        </c:ser>
        <c:dLbls>
          <c:showLegendKey val="0"/>
          <c:showVal val="0"/>
          <c:showCatName val="0"/>
          <c:showSerName val="0"/>
          <c:showPercent val="0"/>
          <c:showBubbleSize val="0"/>
        </c:dLbls>
        <c:marker val="1"/>
        <c:smooth val="0"/>
        <c:axId val="1874204159"/>
        <c:axId val="1501350751"/>
      </c:lineChart>
      <c:catAx>
        <c:axId val="1874204159"/>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US"/>
          </a:p>
        </c:txPr>
        <c:crossAx val="1501350751"/>
        <c:crosses val="autoZero"/>
        <c:auto val="1"/>
        <c:lblAlgn val="ctr"/>
        <c:lblOffset val="100"/>
        <c:noMultiLvlLbl val="0"/>
      </c:catAx>
      <c:valAx>
        <c:axId val="1501350751"/>
        <c:scaling>
          <c:orientation val="minMax"/>
        </c:scaling>
        <c:delete val="1"/>
        <c:axPos val="l"/>
        <c:numFmt formatCode="&quot;$&quot;#,##0;\-&quot;$&quot;#,##0" sourceLinked="1"/>
        <c:majorTickMark val="none"/>
        <c:minorTickMark val="none"/>
        <c:tickLblPos val="nextTo"/>
        <c:crossAx val="1874204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[Feedlot Economics_Updated_VBA.xlsm]Pivot Tables!PivotTable4</c:name>
    <c:fmtId val="1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90000">
                <a:srgbClr val="C240D8"/>
              </a:gs>
              <a:gs pos="27000">
                <a:schemeClr val="accent1">
                  <a:lumMod val="30000"/>
                  <a:lumOff val="70000"/>
                </a:schemeClr>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Tables'!$AG$3</c:f>
              <c:strCache>
                <c:ptCount val="1"/>
                <c:pt idx="0">
                  <c:v>Total</c:v>
                </c:pt>
              </c:strCache>
            </c:strRef>
          </c:tx>
          <c:spPr>
            <a:gradFill flip="none" rotWithShape="1">
              <a:gsLst>
                <a:gs pos="90000">
                  <a:srgbClr val="C240D8"/>
                </a:gs>
                <a:gs pos="27000">
                  <a:schemeClr val="accent1">
                    <a:lumMod val="30000"/>
                    <a:lumOff val="70000"/>
                  </a:schemeClr>
                </a:gs>
              </a:gsLst>
              <a:lin ang="0" scaled="1"/>
              <a:tileRect/>
            </a:gradFill>
            <a:ln>
              <a:noFill/>
            </a:ln>
            <a:effectLst/>
          </c:spPr>
          <c:invertIfNegative val="0"/>
          <c:cat>
            <c:strRef>
              <c:f>'Pivot Tables'!$AF$4:$AF$12</c:f>
              <c:strCache>
                <c:ptCount val="8"/>
                <c:pt idx="0">
                  <c:v>Month 1</c:v>
                </c:pt>
                <c:pt idx="1">
                  <c:v>Month 2</c:v>
                </c:pt>
                <c:pt idx="2">
                  <c:v>Month 3</c:v>
                </c:pt>
                <c:pt idx="3">
                  <c:v>Month 4</c:v>
                </c:pt>
                <c:pt idx="4">
                  <c:v>Month 5</c:v>
                </c:pt>
                <c:pt idx="5">
                  <c:v>Month 6</c:v>
                </c:pt>
                <c:pt idx="6">
                  <c:v>Month 7</c:v>
                </c:pt>
                <c:pt idx="7">
                  <c:v>Month 8</c:v>
                </c:pt>
              </c:strCache>
            </c:strRef>
          </c:cat>
          <c:val>
            <c:numRef>
              <c:f>'Pivot Tables'!$AG$4:$AG$12</c:f>
              <c:numCache>
                <c:formatCode>"$"#,##0;\-"$"#,##0</c:formatCode>
                <c:ptCount val="8"/>
                <c:pt idx="0">
                  <c:v>11496.55821671917</c:v>
                </c:pt>
                <c:pt idx="1">
                  <c:v>4452.4257404696409</c:v>
                </c:pt>
                <c:pt idx="2">
                  <c:v>23757.446897426435</c:v>
                </c:pt>
                <c:pt idx="3">
                  <c:v>23837.406847024751</c:v>
                </c:pt>
                <c:pt idx="4">
                  <c:v>3470.6076399905437</c:v>
                </c:pt>
                <c:pt idx="5">
                  <c:v>46617.571965153744</c:v>
                </c:pt>
                <c:pt idx="6">
                  <c:v>29216.8617827091</c:v>
                </c:pt>
                <c:pt idx="7">
                  <c:v>39605.120910506608</c:v>
                </c:pt>
              </c:numCache>
            </c:numRef>
          </c:val>
          <c:extLst>
            <c:ext xmlns:c16="http://schemas.microsoft.com/office/drawing/2014/chart" uri="{C3380CC4-5D6E-409C-BE32-E72D297353CC}">
              <c16:uniqueId val="{00000000-FB3B-479C-8835-C52006879585}"/>
            </c:ext>
          </c:extLst>
        </c:ser>
        <c:dLbls>
          <c:showLegendKey val="0"/>
          <c:showVal val="0"/>
          <c:showCatName val="0"/>
          <c:showSerName val="0"/>
          <c:showPercent val="0"/>
          <c:showBubbleSize val="0"/>
        </c:dLbls>
        <c:gapWidth val="232"/>
        <c:axId val="1907950624"/>
        <c:axId val="834289856"/>
      </c:barChart>
      <c:catAx>
        <c:axId val="19079506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834289856"/>
        <c:crosses val="autoZero"/>
        <c:auto val="1"/>
        <c:lblAlgn val="ctr"/>
        <c:lblOffset val="100"/>
        <c:noMultiLvlLbl val="0"/>
      </c:catAx>
      <c:valAx>
        <c:axId val="834289856"/>
        <c:scaling>
          <c:orientation val="minMax"/>
        </c:scaling>
        <c:delete val="1"/>
        <c:axPos val="b"/>
        <c:numFmt formatCode="&quot;$&quot;#,##0;\-&quot;$&quot;#,##0" sourceLinked="1"/>
        <c:majorTickMark val="none"/>
        <c:minorTickMark val="none"/>
        <c:tickLblPos val="nextTo"/>
        <c:crossAx val="190795062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'Pivot Tables'!$AP$3</c:f>
              <c:strCache>
                <c:ptCount val="1"/>
                <c:pt idx="0">
                  <c:v>FX</c:v>
                </c:pt>
              </c:strCache>
            </c:strRef>
          </c:tx>
          <c:spPr>
            <a:solidFill>
              <a:srgbClr val="194AFE"/>
            </a:solidFill>
            <a:ln>
              <a:solidFill>
                <a:srgbClr val="070E25"/>
              </a:solidFill>
            </a:ln>
          </c:spPr>
          <c:dPt>
            <c:idx val="0"/>
            <c:bubble3D val="0"/>
            <c:spPr>
              <a:solidFill>
                <a:srgbClr val="194AFE"/>
              </a:solidFill>
              <a:ln w="19050">
                <a:solidFill>
                  <a:srgbClr val="070E25"/>
                </a:solidFill>
              </a:ln>
              <a:effectLst/>
            </c:spPr>
            <c:extLst>
              <c:ext xmlns:c16="http://schemas.microsoft.com/office/drawing/2014/chart" uri="{C3380CC4-5D6E-409C-BE32-E72D297353CC}">
                <c16:uniqueId val="{00000001-0FF3-4477-B34F-F70E1BB15961}"/>
              </c:ext>
            </c:extLst>
          </c:dPt>
          <c:dPt>
            <c:idx val="1"/>
            <c:bubble3D val="0"/>
            <c:spPr>
              <a:solidFill>
                <a:srgbClr val="98F8F2"/>
              </a:solidFill>
              <a:ln w="19050">
                <a:solidFill>
                  <a:srgbClr val="070E25"/>
                </a:solidFill>
              </a:ln>
              <a:effectLst/>
            </c:spPr>
            <c:extLst>
              <c:ext xmlns:c16="http://schemas.microsoft.com/office/drawing/2014/chart" uri="{C3380CC4-5D6E-409C-BE32-E72D297353CC}">
                <c16:uniqueId val="{00000003-0FF3-4477-B34F-F70E1BB15961}"/>
              </c:ext>
            </c:extLst>
          </c:dPt>
          <c:val>
            <c:numRef>
              <c:f>'Pivot Tables'!$AQ$3:$AR$3</c:f>
              <c:numCache>
                <c:formatCode>0.00%</c:formatCode>
                <c:ptCount val="2"/>
                <c:pt idx="0" formatCode="&quot;$&quot;#,##0;\-&quot;$&quot;#,##0">
                  <c:v>10034</c:v>
                </c:pt>
                <c:pt idx="1">
                  <c:v>4.7219801257061319E-3</c:v>
                </c:pt>
              </c:numCache>
            </c:numRef>
          </c:val>
          <c:extLst>
            <c:ext xmlns:c16="http://schemas.microsoft.com/office/drawing/2014/chart" uri="{C3380CC4-5D6E-409C-BE32-E72D297353CC}">
              <c16:uniqueId val="{00000004-0FF3-4477-B34F-F70E1BB15961}"/>
            </c:ext>
          </c:extLst>
        </c:ser>
        <c:ser>
          <c:idx val="1"/>
          <c:order val="1"/>
          <c:tx>
            <c:strRef>
              <c:f>'Pivot Tables'!$AP$4</c:f>
              <c:strCache>
                <c:ptCount val="1"/>
                <c:pt idx="0">
                  <c:v>OPS</c:v>
                </c:pt>
              </c:strCache>
            </c:strRef>
          </c:tx>
          <c:spPr>
            <a:solidFill>
              <a:srgbClr val="194AFE"/>
            </a:solidFill>
            <a:ln>
              <a:noFill/>
            </a:ln>
          </c:spPr>
          <c:dPt>
            <c:idx val="0"/>
            <c:bubble3D val="0"/>
            <c:spPr>
              <a:solidFill>
                <a:srgbClr val="194AFE"/>
              </a:solidFill>
              <a:ln w="19050">
                <a:solidFill>
                  <a:srgbClr val="070E25"/>
                </a:solidFill>
              </a:ln>
              <a:effectLst/>
            </c:spPr>
            <c:extLst>
              <c:ext xmlns:c16="http://schemas.microsoft.com/office/drawing/2014/chart" uri="{C3380CC4-5D6E-409C-BE32-E72D297353CC}">
                <c16:uniqueId val="{00000006-0FF3-4477-B34F-F70E1BB15961}"/>
              </c:ext>
            </c:extLst>
          </c:dPt>
          <c:dPt>
            <c:idx val="1"/>
            <c:bubble3D val="0"/>
            <c:spPr>
              <a:solidFill>
                <a:srgbClr val="98F8F2"/>
              </a:solidFill>
              <a:ln w="19050">
                <a:noFill/>
              </a:ln>
              <a:effectLst/>
            </c:spPr>
            <c:extLst>
              <c:ext xmlns:c16="http://schemas.microsoft.com/office/drawing/2014/chart" uri="{C3380CC4-5D6E-409C-BE32-E72D297353CC}">
                <c16:uniqueId val="{00000008-0FF3-4477-B34F-F70E1BB15961}"/>
              </c:ext>
            </c:extLst>
          </c:dPt>
          <c:val>
            <c:numRef>
              <c:f>'Pivot Tables'!$AQ$4:$AR$4</c:f>
              <c:numCache>
                <c:formatCode>0.00%</c:formatCode>
                <c:ptCount val="2"/>
                <c:pt idx="0" formatCode="&quot;$&quot;#,##0;\-&quot;$&quot;#,##0">
                  <c:v>2114922</c:v>
                </c:pt>
                <c:pt idx="1">
                  <c:v>0.99527801987429387</c:v>
                </c:pt>
              </c:numCache>
            </c:numRef>
          </c:val>
          <c:extLst>
            <c:ext xmlns:c16="http://schemas.microsoft.com/office/drawing/2014/chart" uri="{C3380CC4-5D6E-409C-BE32-E72D297353CC}">
              <c16:uniqueId val="{00000009-0FF3-4477-B34F-F70E1BB15961}"/>
            </c:ext>
          </c:extLst>
        </c:ser>
        <c:dLbls>
          <c:showLegendKey val="0"/>
          <c:showVal val="0"/>
          <c:showCatName val="0"/>
          <c:showSerName val="0"/>
          <c:showPercent val="0"/>
          <c:showBubbleSize val="0"/>
          <c:showLeaderLines val="1"/>
        </c:dLbls>
        <c:firstSliceAng val="36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[Feedlot Economics_Updated_VBA.xlsm]Pivot Tables!PivotTable3</c:name>
    <c:fmtId val="15"/>
  </c:pivotSource>
  <c:chart>
    <c:autoTitleDeleted val="0"/>
    <c:pivotFmts>
      <c:pivotFmt>
        <c:idx val="0"/>
        <c:spPr>
          <a:solidFill>
            <a:schemeClr val="accent1"/>
          </a:solidFill>
          <a:ln w="12700"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100000">
                <a:schemeClr val="tx1"/>
              </a:gs>
              <a:gs pos="31000">
                <a:srgbClr val="194AFE"/>
              </a:gs>
            </a:gsLst>
            <a:lin ang="54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100000">
                <a:schemeClr val="tx1"/>
              </a:gs>
              <a:gs pos="31000">
                <a:srgbClr val="194AFE"/>
              </a:gs>
            </a:gsLst>
            <a:lin ang="54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2700"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100000">
                <a:srgbClr val="194AFE">
                  <a:alpha val="0"/>
                </a:srgbClr>
              </a:gs>
              <a:gs pos="32000">
                <a:srgbClr val="194AFE">
                  <a:alpha val="83000"/>
                </a:srgbClr>
              </a:gs>
            </a:gsLst>
            <a:lin ang="54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5875"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flip="none" rotWithShape="1">
            <a:gsLst>
              <a:gs pos="100000">
                <a:srgbClr val="194AFE">
                  <a:alpha val="0"/>
                </a:srgbClr>
              </a:gs>
              <a:gs pos="32000">
                <a:srgbClr val="194AFE">
                  <a:alpha val="83000"/>
                </a:srgbClr>
              </a:gs>
            </a:gsLst>
            <a:lin ang="54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5875"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flip="none" rotWithShape="1">
            <a:gsLst>
              <a:gs pos="100000">
                <a:srgbClr val="194AFE">
                  <a:alpha val="0"/>
                </a:srgbClr>
              </a:gs>
              <a:gs pos="32000">
                <a:srgbClr val="194AFE">
                  <a:alpha val="83000"/>
                </a:srgbClr>
              </a:gs>
            </a:gsLst>
            <a:lin ang="54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15875"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1"/>
          <c:order val="1"/>
          <c:tx>
            <c:strRef>
              <c:f>'Pivot Tables'!$AB$3</c:f>
              <c:strCache>
                <c:ptCount val="1"/>
                <c:pt idx="0">
                  <c:v>Sum of Input Cost 2</c:v>
                </c:pt>
              </c:strCache>
            </c:strRef>
          </c:tx>
          <c:spPr>
            <a:gradFill flip="none" rotWithShape="1">
              <a:gsLst>
                <a:gs pos="100000">
                  <a:srgbClr val="194AFE">
                    <a:alpha val="0"/>
                  </a:srgbClr>
                </a:gs>
                <a:gs pos="32000">
                  <a:srgbClr val="194AFE">
                    <a:alpha val="83000"/>
                  </a:srgbClr>
                </a:gs>
              </a:gsLst>
              <a:lin ang="5400000" scaled="0"/>
              <a:tileRect/>
            </a:gradFill>
            <a:ln>
              <a:noFill/>
            </a:ln>
            <a:effectLst/>
          </c:spPr>
          <c:cat>
            <c:strRef>
              <c:f>'Pivot Tables'!$Z$4:$Z$12</c:f>
              <c:strCache>
                <c:ptCount val="8"/>
                <c:pt idx="0">
                  <c:v>Month 1</c:v>
                </c:pt>
                <c:pt idx="1">
                  <c:v>Month 2</c:v>
                </c:pt>
                <c:pt idx="2">
                  <c:v>Month 3</c:v>
                </c:pt>
                <c:pt idx="3">
                  <c:v>Month 4</c:v>
                </c:pt>
                <c:pt idx="4">
                  <c:v>Month 5</c:v>
                </c:pt>
                <c:pt idx="5">
                  <c:v>Month 6</c:v>
                </c:pt>
                <c:pt idx="6">
                  <c:v>Month 7</c:v>
                </c:pt>
                <c:pt idx="7">
                  <c:v>Month 8</c:v>
                </c:pt>
              </c:strCache>
            </c:strRef>
          </c:cat>
          <c:val>
            <c:numRef>
              <c:f>'Pivot Tables'!$AB$4:$AB$12</c:f>
              <c:numCache>
                <c:formatCode>"$"#,##0;\-"$"#,##0</c:formatCode>
                <c:ptCount val="8"/>
                <c:pt idx="0">
                  <c:v>121623.14310630818</c:v>
                </c:pt>
                <c:pt idx="1">
                  <c:v>73358.060591311456</c:v>
                </c:pt>
                <c:pt idx="2">
                  <c:v>253638.86193732367</c:v>
                </c:pt>
                <c:pt idx="3">
                  <c:v>311053.97538166295</c:v>
                </c:pt>
                <c:pt idx="4">
                  <c:v>452358.11240537884</c:v>
                </c:pt>
                <c:pt idx="5">
                  <c:v>375983.61171341466</c:v>
                </c:pt>
                <c:pt idx="6">
                  <c:v>303498.09776101133</c:v>
                </c:pt>
                <c:pt idx="7">
                  <c:v>233442.13710358876</c:v>
                </c:pt>
              </c:numCache>
            </c:numRef>
          </c:val>
          <c:extLst>
            <c:ext xmlns:c16="http://schemas.microsoft.com/office/drawing/2014/chart" uri="{C3380CC4-5D6E-409C-BE32-E72D297353CC}">
              <c16:uniqueId val="{00000000-0BFE-4D21-BCC7-78A0BAA759BD}"/>
            </c:ext>
          </c:extLst>
        </c:ser>
        <c:dLbls>
          <c:showLegendKey val="0"/>
          <c:showVal val="0"/>
          <c:showCatName val="0"/>
          <c:showSerName val="0"/>
          <c:showPercent val="0"/>
          <c:showBubbleSize val="0"/>
        </c:dLbls>
        <c:axId val="1874204159"/>
        <c:axId val="1501350751"/>
      </c:areaChart>
      <c:lineChart>
        <c:grouping val="standard"/>
        <c:varyColors val="0"/>
        <c:ser>
          <c:idx val="0"/>
          <c:order val="0"/>
          <c:tx>
            <c:strRef>
              <c:f>'Pivot Tables'!$AA$3</c:f>
              <c:strCache>
                <c:ptCount val="1"/>
                <c:pt idx="0">
                  <c:v>Sum of Input Cost </c:v>
                </c:pt>
              </c:strCache>
            </c:strRef>
          </c:tx>
          <c:spPr>
            <a:ln w="15875" cap="rnd">
              <a:solidFill>
                <a:srgbClr val="194AFE"/>
              </a:solidFill>
              <a:round/>
            </a:ln>
            <a:effectLst/>
          </c:spPr>
          <c:marker>
            <c:symbol val="none"/>
          </c:marker>
          <c:cat>
            <c:strRef>
              <c:f>'Pivot Tables'!$Z$4:$Z$12</c:f>
              <c:strCache>
                <c:ptCount val="8"/>
                <c:pt idx="0">
                  <c:v>Month 1</c:v>
                </c:pt>
                <c:pt idx="1">
                  <c:v>Month 2</c:v>
                </c:pt>
                <c:pt idx="2">
                  <c:v>Month 3</c:v>
                </c:pt>
                <c:pt idx="3">
                  <c:v>Month 4</c:v>
                </c:pt>
                <c:pt idx="4">
                  <c:v>Month 5</c:v>
                </c:pt>
                <c:pt idx="5">
                  <c:v>Month 6</c:v>
                </c:pt>
                <c:pt idx="6">
                  <c:v>Month 7</c:v>
                </c:pt>
                <c:pt idx="7">
                  <c:v>Month 8</c:v>
                </c:pt>
              </c:strCache>
            </c:strRef>
          </c:cat>
          <c:val>
            <c:numRef>
              <c:f>'Pivot Tables'!$AA$4:$AA$12</c:f>
              <c:numCache>
                <c:formatCode>"$"#,##0;\-"$"#,##0</c:formatCode>
                <c:ptCount val="8"/>
                <c:pt idx="0">
                  <c:v>121623.14310630818</c:v>
                </c:pt>
                <c:pt idx="1">
                  <c:v>73358.060591311456</c:v>
                </c:pt>
                <c:pt idx="2">
                  <c:v>253638.86193732367</c:v>
                </c:pt>
                <c:pt idx="3">
                  <c:v>311053.97538166295</c:v>
                </c:pt>
                <c:pt idx="4">
                  <c:v>452358.11240537884</c:v>
                </c:pt>
                <c:pt idx="5">
                  <c:v>375983.61171341466</c:v>
                </c:pt>
                <c:pt idx="6">
                  <c:v>303498.09776101133</c:v>
                </c:pt>
                <c:pt idx="7">
                  <c:v>233442.13710358876</c:v>
                </c:pt>
              </c:numCache>
            </c:numRef>
          </c:val>
          <c:smooth val="0"/>
          <c:extLst>
            <c:ext xmlns:c16="http://schemas.microsoft.com/office/drawing/2014/chart" uri="{C3380CC4-5D6E-409C-BE32-E72D297353CC}">
              <c16:uniqueId val="{00000001-0BFE-4D21-BCC7-78A0BAA759BD}"/>
            </c:ext>
          </c:extLst>
        </c:ser>
        <c:dLbls>
          <c:showLegendKey val="0"/>
          <c:showVal val="0"/>
          <c:showCatName val="0"/>
          <c:showSerName val="0"/>
          <c:showPercent val="0"/>
          <c:showBubbleSize val="0"/>
        </c:dLbls>
        <c:marker val="1"/>
        <c:smooth val="0"/>
        <c:axId val="1874204159"/>
        <c:axId val="1501350751"/>
      </c:lineChart>
      <c:catAx>
        <c:axId val="1874204159"/>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US"/>
          </a:p>
        </c:txPr>
        <c:crossAx val="1501350751"/>
        <c:crosses val="autoZero"/>
        <c:auto val="1"/>
        <c:lblAlgn val="ctr"/>
        <c:lblOffset val="100"/>
        <c:noMultiLvlLbl val="0"/>
      </c:catAx>
      <c:valAx>
        <c:axId val="1501350751"/>
        <c:scaling>
          <c:orientation val="minMax"/>
        </c:scaling>
        <c:delete val="1"/>
        <c:axPos val="l"/>
        <c:numFmt formatCode="&quot;$&quot;#,##0;\-&quot;$&quot;#,##0" sourceLinked="1"/>
        <c:majorTickMark val="none"/>
        <c:minorTickMark val="none"/>
        <c:tickLblPos val="nextTo"/>
        <c:crossAx val="1874204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8032789212958464E-2"/>
          <c:y val="4.3708611550743681E-2"/>
          <c:w val="0.96393442157408304"/>
          <c:h val="0.95629138844925632"/>
        </c:manualLayout>
      </c:layout>
      <c:bubbleChart>
        <c:varyColors val="0"/>
        <c:ser>
          <c:idx val="0"/>
          <c:order val="0"/>
          <c:tx>
            <c:v>Income</c:v>
          </c:tx>
          <c:spPr>
            <a:gradFill>
              <a:gsLst>
                <a:gs pos="37000">
                  <a:srgbClr val="F86EB0"/>
                </a:gs>
                <a:gs pos="86000">
                  <a:srgbClr val="9947F7">
                    <a:alpha val="38000"/>
                  </a:srgbClr>
                </a:gs>
              </a:gsLst>
              <a:path path="circle">
                <a:fillToRect l="100000" t="100000"/>
              </a:path>
            </a:gradFill>
            <a:ln w="25400">
              <a:noFill/>
            </a:ln>
            <a:effectLst/>
          </c:spPr>
          <c:invertIfNegative val="0"/>
          <c:dPt>
            <c:idx val="0"/>
            <c:invertIfNegative val="0"/>
            <c:bubble3D val="0"/>
            <c:spPr>
              <a:gradFill flip="none" rotWithShape="1">
                <a:gsLst>
                  <a:gs pos="42000">
                    <a:srgbClr val="F86EB0"/>
                  </a:gs>
                  <a:gs pos="85000">
                    <a:srgbClr val="9947F7"/>
                  </a:gs>
                </a:gsLst>
                <a:path path="circle">
                  <a:fillToRect r="100000" b="100000"/>
                </a:path>
                <a:tileRect l="-100000" t="-100000"/>
              </a:gradFill>
              <a:ln w="25400">
                <a:noFill/>
              </a:ln>
              <a:effectLst/>
            </c:spPr>
            <c:extLst>
              <c:ext xmlns:c16="http://schemas.microsoft.com/office/drawing/2014/chart" uri="{C3380CC4-5D6E-409C-BE32-E72D297353CC}">
                <c16:uniqueId val="{00000001-37FB-40EC-9A23-6D57FD8718F3}"/>
              </c:ext>
            </c:extLst>
          </c:dPt>
          <c:dPt>
            <c:idx val="1"/>
            <c:invertIfNegative val="0"/>
            <c:bubble3D val="0"/>
            <c:spPr>
              <a:gradFill flip="none" rotWithShape="1">
                <a:gsLst>
                  <a:gs pos="52000">
                    <a:srgbClr val="F86EB0"/>
                  </a:gs>
                  <a:gs pos="97000">
                    <a:srgbClr val="9947F7">
                      <a:alpha val="60000"/>
                    </a:srgbClr>
                  </a:gs>
                </a:gsLst>
                <a:path path="circle">
                  <a:fillToRect l="100000" b="100000"/>
                </a:path>
                <a:tileRect t="-100000" r="-100000"/>
              </a:gradFill>
              <a:ln w="25400">
                <a:noFill/>
              </a:ln>
              <a:effectLst/>
            </c:spPr>
            <c:extLst>
              <c:ext xmlns:c16="http://schemas.microsoft.com/office/drawing/2014/chart" uri="{C3380CC4-5D6E-409C-BE32-E72D297353CC}">
                <c16:uniqueId val="{00000003-37FB-40EC-9A23-6D57FD8718F3}"/>
              </c:ext>
            </c:extLst>
          </c:dPt>
          <c:dLbls>
            <c:dLbl>
              <c:idx val="0"/>
              <c:spPr>
                <a:noFill/>
                <a:ln>
                  <a:noFill/>
                </a:ln>
                <a:effectLst/>
              </c:spPr>
              <c:txPr>
                <a:bodyPr rot="0" spcFirstLastPara="1" vertOverflow="ellipsis" vert="horz" wrap="square" lIns="38100" tIns="19050" rIns="38100" bIns="19050" anchor="ctr" anchorCtr="1">
                  <a:noAutofit/>
                </a:bodyPr>
                <a:lstStyle/>
                <a:p>
                  <a:pPr>
                    <a:defRPr sz="1400" b="1" i="0" u="none" strike="noStrike" kern="1200" baseline="0">
                      <a:solidFill>
                        <a:schemeClr val="tx1"/>
                      </a:solidFill>
                      <a:latin typeface="Avenir Next LT Pro" panose="020B0504020202020204" pitchFamily="34" charset="0"/>
                      <a:ea typeface="+mn-ea"/>
                      <a:cs typeface="+mn-cs"/>
                    </a:defRPr>
                  </a:pPr>
                  <a:endParaRPr lang="en-US"/>
                </a:p>
              </c:txPr>
              <c:dLblPos val="ctr"/>
              <c:showLegendKey val="0"/>
              <c:showVal val="0"/>
              <c:showCatName val="0"/>
              <c:showSerName val="0"/>
              <c:showPercent val="0"/>
              <c:showBubbleSize val="1"/>
              <c:extLst>
                <c:ext xmlns:c15="http://schemas.microsoft.com/office/drawing/2012/chart" uri="{CE6537A1-D6FC-4f65-9D91-7224C49458BB}">
                  <c15:layout>
                    <c:manualLayout>
                      <c:w val="0.2499016716021262"/>
                      <c:h val="4.4384108274709719E-2"/>
                    </c:manualLayout>
                  </c15:layout>
                </c:ext>
                <c:ext xmlns:c16="http://schemas.microsoft.com/office/drawing/2014/chart" uri="{C3380CC4-5D6E-409C-BE32-E72D297353CC}">
                  <c16:uniqueId val="{00000001-37FB-40EC-9A23-6D57FD8718F3}"/>
                </c:ext>
              </c:extLst>
            </c:dLbl>
            <c:dLbl>
              <c:idx val="1"/>
              <c:spPr>
                <a:noFill/>
                <a:ln>
                  <a:noFill/>
                </a:ln>
                <a:effectLst/>
              </c:spPr>
              <c:txPr>
                <a:bodyPr rot="0" spcFirstLastPara="1" vertOverflow="ellipsis" vert="horz" wrap="square" lIns="38100" tIns="19050" rIns="38100" bIns="19050" anchor="ctr" anchorCtr="1">
                  <a:noAutofit/>
                </a:bodyPr>
                <a:lstStyle/>
                <a:p>
                  <a:pPr>
                    <a:defRPr sz="1400" b="1" i="0" u="none" strike="noStrike" kern="1200" baseline="0">
                      <a:solidFill>
                        <a:schemeClr val="tx1"/>
                      </a:solidFill>
                      <a:latin typeface="Avenir Next LT Pro" panose="020B0504020202020204" pitchFamily="34" charset="0"/>
                      <a:ea typeface="+mn-ea"/>
                      <a:cs typeface="+mn-cs"/>
                    </a:defRPr>
                  </a:pPr>
                  <a:endParaRPr lang="en-US"/>
                </a:p>
              </c:txPr>
              <c:dLblPos val="ctr"/>
              <c:showLegendKey val="0"/>
              <c:showVal val="0"/>
              <c:showCatName val="0"/>
              <c:showSerName val="0"/>
              <c:showPercent val="0"/>
              <c:showBubbleSize val="1"/>
              <c:extLst>
                <c:ext xmlns:c15="http://schemas.microsoft.com/office/drawing/2012/chart" uri="{CE6537A1-D6FC-4f65-9D91-7224C49458BB}">
                  <c15:layout>
                    <c:manualLayout>
                      <c:w val="0.25973773844555803"/>
                      <c:h val="4.8357618415686414E-2"/>
                    </c:manualLayout>
                  </c15:layout>
                </c:ext>
                <c:ext xmlns:c16="http://schemas.microsoft.com/office/drawing/2014/chart" uri="{C3380CC4-5D6E-409C-BE32-E72D297353CC}">
                  <c16:uniqueId val="{00000003-37FB-40EC-9A23-6D57FD8718F3}"/>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Avenir Next LT Pro" panose="020B0504020202020204" pitchFamily="34" charset="0"/>
                    <a:ea typeface="+mn-ea"/>
                    <a:cs typeface="+mn-cs"/>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'Pivot Tables'!$S$7:$S$8</c:f>
              <c:numCache>
                <c:formatCode>General</c:formatCode>
                <c:ptCount val="2"/>
                <c:pt idx="0">
                  <c:v>1</c:v>
                </c:pt>
                <c:pt idx="1">
                  <c:v>3</c:v>
                </c:pt>
              </c:numCache>
            </c:numRef>
          </c:xVal>
          <c:yVal>
            <c:numRef>
              <c:f>'Pivot Tables'!$T$7:$T$8</c:f>
              <c:numCache>
                <c:formatCode>General</c:formatCode>
                <c:ptCount val="2"/>
                <c:pt idx="0">
                  <c:v>1</c:v>
                </c:pt>
                <c:pt idx="1">
                  <c:v>1</c:v>
                </c:pt>
              </c:numCache>
            </c:numRef>
          </c:yVal>
          <c:bubbleSize>
            <c:numRef>
              <c:f>'Pivot Tables'!$R$7:$R$8</c:f>
              <c:numCache>
                <c:formatCode>"$"#,##0;\-"$"#,##0</c:formatCode>
                <c:ptCount val="2"/>
                <c:pt idx="0">
                  <c:v>2307410</c:v>
                </c:pt>
                <c:pt idx="1">
                  <c:v>2124956.0000000005</c:v>
                </c:pt>
              </c:numCache>
            </c:numRef>
          </c:bubbleSize>
          <c:bubble3D val="0"/>
          <c:extLst>
            <c:ext xmlns:c16="http://schemas.microsoft.com/office/drawing/2014/chart" uri="{C3380CC4-5D6E-409C-BE32-E72D297353CC}">
              <c16:uniqueId val="{00000004-37FB-40EC-9A23-6D57FD8718F3}"/>
            </c:ext>
          </c:extLst>
        </c:ser>
        <c:dLbls>
          <c:dLblPos val="ctr"/>
          <c:showLegendKey val="0"/>
          <c:showVal val="1"/>
          <c:showCatName val="0"/>
          <c:showSerName val="0"/>
          <c:showPercent val="0"/>
          <c:showBubbleSize val="0"/>
        </c:dLbls>
        <c:bubbleScale val="300"/>
        <c:showNegBubbles val="0"/>
        <c:sizeRepresents val="w"/>
        <c:axId val="1259266655"/>
        <c:axId val="1062552159"/>
      </c:bubbleChart>
      <c:valAx>
        <c:axId val="1259266655"/>
        <c:scaling>
          <c:orientation val="minMax"/>
          <c:max val="4"/>
          <c:min val="0"/>
        </c:scaling>
        <c:delete val="1"/>
        <c:axPos val="b"/>
        <c:numFmt formatCode="General" sourceLinked="1"/>
        <c:majorTickMark val="none"/>
        <c:minorTickMark val="none"/>
        <c:tickLblPos val="nextTo"/>
        <c:crossAx val="1062552159"/>
        <c:crosses val="autoZero"/>
        <c:crossBetween val="midCat"/>
        <c:majorUnit val="1"/>
        <c:minorUnit val="0.5"/>
      </c:valAx>
      <c:valAx>
        <c:axId val="1062552159"/>
        <c:scaling>
          <c:orientation val="minMax"/>
          <c:max val="2"/>
        </c:scaling>
        <c:delete val="1"/>
        <c:axPos val="l"/>
        <c:numFmt formatCode="General" sourceLinked="1"/>
        <c:majorTickMark val="none"/>
        <c:minorTickMark val="none"/>
        <c:tickLblPos val="nextTo"/>
        <c:crossAx val="1259266655"/>
        <c:crosses val="autoZero"/>
        <c:crossBetween val="midCat"/>
        <c:majorUnit val="1"/>
        <c:minorUnit val="0.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Profit</c:v>
          </c:tx>
          <c:spPr>
            <a:gradFill flip="none" rotWithShape="1">
              <a:gsLst>
                <a:gs pos="66000">
                  <a:srgbClr val="F86EB0"/>
                </a:gs>
                <a:gs pos="17000">
                  <a:schemeClr val="bg1">
                    <a:lumMod val="95000"/>
                  </a:schemeClr>
                </a:gs>
              </a:gsLst>
              <a:path path="circle">
                <a:fillToRect l="100000" t="100000"/>
              </a:path>
              <a:tileRect r="-100000" b="-100000"/>
            </a:gradFill>
            <a:ln w="25400">
              <a:noFill/>
            </a:ln>
            <a:effectLst/>
          </c:spPr>
          <c:invertIfNegative val="0"/>
          <c:dLbls>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ysClr val="windowText" lastClr="000000"/>
                      </a:solidFill>
                      <a:latin typeface="Avenir Next LT Pro" panose="020B0504020202020204" pitchFamily="34" charset="0"/>
                      <a:ea typeface="+mn-ea"/>
                      <a:cs typeface="+mn-cs"/>
                    </a:defRPr>
                  </a:pPr>
                  <a:endParaRPr lang="en-US"/>
                </a:p>
              </c:txPr>
              <c:dLblPos val="ctr"/>
              <c:showLegendKey val="0"/>
              <c:showVal val="0"/>
              <c:showCatName val="0"/>
              <c:showSerName val="0"/>
              <c:showPercent val="0"/>
              <c:showBubbleSize val="1"/>
              <c:extLst>
                <c:ext xmlns:c15="http://schemas.microsoft.com/office/drawing/2012/chart" uri="{CE6537A1-D6FC-4f65-9D91-7224C49458BB}">
                  <c15:layout>
                    <c:manualLayout>
                      <c:w val="0.41866729820330051"/>
                      <c:h val="0.11832987769626144"/>
                    </c:manualLayout>
                  </c15:layout>
                </c:ext>
                <c:ext xmlns:c16="http://schemas.microsoft.com/office/drawing/2014/chart" uri="{C3380CC4-5D6E-409C-BE32-E72D297353CC}">
                  <c16:uniqueId val="{00000001-68E7-4D87-A1AA-F7FF3747D8DE}"/>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Avenir Next LT Pro" panose="020B0504020202020204" pitchFamily="34" charset="0"/>
                    <a:ea typeface="+mn-ea"/>
                    <a:cs typeface="+mn-cs"/>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'Pivot Tables'!$AI$7</c:f>
              <c:numCache>
                <c:formatCode>General</c:formatCode>
                <c:ptCount val="1"/>
                <c:pt idx="0">
                  <c:v>2</c:v>
                </c:pt>
              </c:numCache>
            </c:numRef>
          </c:xVal>
          <c:yVal>
            <c:numRef>
              <c:f>'Pivot Tables'!$AJ$7</c:f>
              <c:numCache>
                <c:formatCode>General</c:formatCode>
                <c:ptCount val="1"/>
                <c:pt idx="0">
                  <c:v>2</c:v>
                </c:pt>
              </c:numCache>
            </c:numRef>
          </c:yVal>
          <c:bubbleSize>
            <c:numRef>
              <c:f>'Pivot Tables'!$AI$4</c:f>
              <c:numCache>
                <c:formatCode>"$"#,##0;\-"$"#,##0</c:formatCode>
                <c:ptCount val="1"/>
                <c:pt idx="0">
                  <c:v>182454</c:v>
                </c:pt>
              </c:numCache>
            </c:numRef>
          </c:bubbleSize>
          <c:bubble3D val="0"/>
          <c:extLst>
            <c:ext xmlns:c16="http://schemas.microsoft.com/office/drawing/2014/chart" uri="{C3380CC4-5D6E-409C-BE32-E72D297353CC}">
              <c16:uniqueId val="{00000000-68E7-4D87-A1AA-F7FF3747D8DE}"/>
            </c:ext>
          </c:extLst>
        </c:ser>
        <c:dLbls>
          <c:showLegendKey val="0"/>
          <c:showVal val="0"/>
          <c:showCatName val="0"/>
          <c:showSerName val="0"/>
          <c:showPercent val="0"/>
          <c:showBubbleSize val="0"/>
        </c:dLbls>
        <c:bubbleScale val="300"/>
        <c:showNegBubbles val="0"/>
        <c:axId val="855564495"/>
        <c:axId val="1140602015"/>
      </c:bubbleChart>
      <c:valAx>
        <c:axId val="855564495"/>
        <c:scaling>
          <c:orientation val="minMax"/>
          <c:max val="3"/>
          <c:min val="0"/>
        </c:scaling>
        <c:delete val="1"/>
        <c:axPos val="b"/>
        <c:numFmt formatCode="General" sourceLinked="1"/>
        <c:majorTickMark val="none"/>
        <c:minorTickMark val="none"/>
        <c:tickLblPos val="nextTo"/>
        <c:crossAx val="1140602015"/>
        <c:crosses val="autoZero"/>
        <c:crossBetween val="midCat"/>
        <c:majorUnit val="1"/>
        <c:minorUnit val="0.5"/>
      </c:valAx>
      <c:valAx>
        <c:axId val="1140602015"/>
        <c:scaling>
          <c:orientation val="minMax"/>
          <c:max val="3"/>
        </c:scaling>
        <c:delete val="1"/>
        <c:axPos val="l"/>
        <c:numFmt formatCode="General" sourceLinked="1"/>
        <c:majorTickMark val="none"/>
        <c:minorTickMark val="none"/>
        <c:tickLblPos val="nextTo"/>
        <c:crossAx val="855564495"/>
        <c:crosses val="autoZero"/>
        <c:crossBetween val="midCat"/>
        <c:majorUnit val="1"/>
        <c:minorUnit val="0.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[Feedlot Economics_Updated_VBA.xlsm]Pivot Tables!PivotTable4</c:name>
    <c:fmtId val="2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90000">
                <a:srgbClr val="C240D8"/>
              </a:gs>
              <a:gs pos="27000">
                <a:schemeClr val="accent1">
                  <a:lumMod val="30000"/>
                  <a:lumOff val="70000"/>
                </a:schemeClr>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flip="none" rotWithShape="1">
            <a:gsLst>
              <a:gs pos="90000">
                <a:srgbClr val="C240D8"/>
              </a:gs>
              <a:gs pos="27000">
                <a:schemeClr val="accent1">
                  <a:lumMod val="30000"/>
                  <a:lumOff val="70000"/>
                </a:schemeClr>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90000">
                <a:srgbClr val="C240D8"/>
              </a:gs>
              <a:gs pos="27000">
                <a:schemeClr val="accent1">
                  <a:lumMod val="30000"/>
                  <a:lumOff val="70000"/>
                </a:schemeClr>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flip="none" rotWithShape="1">
            <a:gsLst>
              <a:gs pos="90000">
                <a:srgbClr val="C240D8"/>
              </a:gs>
              <a:gs pos="27000">
                <a:schemeClr val="accent1">
                  <a:lumMod val="30000"/>
                  <a:lumOff val="70000"/>
                </a:schemeClr>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flip="none" rotWithShape="1">
            <a:gsLst>
              <a:gs pos="90000">
                <a:srgbClr val="C240D8"/>
              </a:gs>
              <a:gs pos="27000">
                <a:schemeClr val="accent1">
                  <a:lumMod val="30000"/>
                  <a:lumOff val="70000"/>
                </a:schemeClr>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Tables'!$AG$3</c:f>
              <c:strCache>
                <c:ptCount val="1"/>
                <c:pt idx="0">
                  <c:v>Total</c:v>
                </c:pt>
              </c:strCache>
            </c:strRef>
          </c:tx>
          <c:spPr>
            <a:gradFill flip="none" rotWithShape="1">
              <a:gsLst>
                <a:gs pos="90000">
                  <a:srgbClr val="C240D8"/>
                </a:gs>
                <a:gs pos="27000">
                  <a:schemeClr val="accent1">
                    <a:lumMod val="30000"/>
                    <a:lumOff val="70000"/>
                  </a:schemeClr>
                </a:gs>
              </a:gsLst>
              <a:lin ang="0" scaled="1"/>
              <a:tileRect/>
            </a:gradFill>
            <a:ln>
              <a:noFill/>
            </a:ln>
            <a:effectLst/>
          </c:spPr>
          <c:invertIfNegative val="0"/>
          <c:cat>
            <c:strRef>
              <c:f>'Pivot Tables'!$AF$4:$AF$12</c:f>
              <c:strCache>
                <c:ptCount val="8"/>
                <c:pt idx="0">
                  <c:v>Month 1</c:v>
                </c:pt>
                <c:pt idx="1">
                  <c:v>Month 2</c:v>
                </c:pt>
                <c:pt idx="2">
                  <c:v>Month 3</c:v>
                </c:pt>
                <c:pt idx="3">
                  <c:v>Month 4</c:v>
                </c:pt>
                <c:pt idx="4">
                  <c:v>Month 5</c:v>
                </c:pt>
                <c:pt idx="5">
                  <c:v>Month 6</c:v>
                </c:pt>
                <c:pt idx="6">
                  <c:v>Month 7</c:v>
                </c:pt>
                <c:pt idx="7">
                  <c:v>Month 8</c:v>
                </c:pt>
              </c:strCache>
            </c:strRef>
          </c:cat>
          <c:val>
            <c:numRef>
              <c:f>'Pivot Tables'!$AG$4:$AG$12</c:f>
              <c:numCache>
                <c:formatCode>"$"#,##0;\-"$"#,##0</c:formatCode>
                <c:ptCount val="8"/>
                <c:pt idx="0">
                  <c:v>11496.55821671917</c:v>
                </c:pt>
                <c:pt idx="1">
                  <c:v>4452.4257404696409</c:v>
                </c:pt>
                <c:pt idx="2">
                  <c:v>23757.446897426435</c:v>
                </c:pt>
                <c:pt idx="3">
                  <c:v>23837.406847024751</c:v>
                </c:pt>
                <c:pt idx="4">
                  <c:v>3470.6076399905437</c:v>
                </c:pt>
                <c:pt idx="5">
                  <c:v>46617.571965153744</c:v>
                </c:pt>
                <c:pt idx="6">
                  <c:v>29216.8617827091</c:v>
                </c:pt>
                <c:pt idx="7">
                  <c:v>39605.120910506608</c:v>
                </c:pt>
              </c:numCache>
            </c:numRef>
          </c:val>
          <c:extLst>
            <c:ext xmlns:c16="http://schemas.microsoft.com/office/drawing/2014/chart" uri="{C3380CC4-5D6E-409C-BE32-E72D297353CC}">
              <c16:uniqueId val="{00000000-C0EB-4C0C-AFFD-411EF59E3F74}"/>
            </c:ext>
          </c:extLst>
        </c:ser>
        <c:dLbls>
          <c:showLegendKey val="0"/>
          <c:showVal val="0"/>
          <c:showCatName val="0"/>
          <c:showSerName val="0"/>
          <c:showPercent val="0"/>
          <c:showBubbleSize val="0"/>
        </c:dLbls>
        <c:gapWidth val="232"/>
        <c:axId val="1907950624"/>
        <c:axId val="834289856"/>
      </c:barChart>
      <c:catAx>
        <c:axId val="19079506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834289856"/>
        <c:crosses val="autoZero"/>
        <c:auto val="1"/>
        <c:lblAlgn val="ctr"/>
        <c:lblOffset val="100"/>
        <c:noMultiLvlLbl val="0"/>
      </c:catAx>
      <c:valAx>
        <c:axId val="834289856"/>
        <c:scaling>
          <c:orientation val="minMax"/>
        </c:scaling>
        <c:delete val="1"/>
        <c:axPos val="b"/>
        <c:numFmt formatCode="&quot;$&quot;#,##0;\-&quot;$&quot;#,##0" sourceLinked="1"/>
        <c:majorTickMark val="none"/>
        <c:minorTickMark val="none"/>
        <c:tickLblPos val="nextTo"/>
        <c:crossAx val="190795062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'Pivot Tables'!$AP$3</c:f>
              <c:strCache>
                <c:ptCount val="1"/>
                <c:pt idx="0">
                  <c:v>FX</c:v>
                </c:pt>
              </c:strCache>
            </c:strRef>
          </c:tx>
          <c:spPr>
            <a:solidFill>
              <a:srgbClr val="194AFE"/>
            </a:solidFill>
            <a:ln>
              <a:solidFill>
                <a:srgbClr val="070E25"/>
              </a:solidFill>
            </a:ln>
          </c:spPr>
          <c:dPt>
            <c:idx val="0"/>
            <c:bubble3D val="0"/>
            <c:spPr>
              <a:solidFill>
                <a:srgbClr val="194AFE"/>
              </a:solidFill>
              <a:ln w="19050">
                <a:solidFill>
                  <a:srgbClr val="070E25"/>
                </a:solidFill>
              </a:ln>
              <a:effectLst/>
            </c:spPr>
            <c:extLst>
              <c:ext xmlns:c16="http://schemas.microsoft.com/office/drawing/2014/chart" uri="{C3380CC4-5D6E-409C-BE32-E72D297353CC}">
                <c16:uniqueId val="{00000001-A3C8-4EF6-B034-D9A0F458ED21}"/>
              </c:ext>
            </c:extLst>
          </c:dPt>
          <c:dPt>
            <c:idx val="1"/>
            <c:bubble3D val="0"/>
            <c:spPr>
              <a:solidFill>
                <a:srgbClr val="98F8F2"/>
              </a:solidFill>
              <a:ln w="19050">
                <a:solidFill>
                  <a:srgbClr val="070E25"/>
                </a:solidFill>
              </a:ln>
              <a:effectLst/>
            </c:spPr>
            <c:extLst>
              <c:ext xmlns:c16="http://schemas.microsoft.com/office/drawing/2014/chart" uri="{C3380CC4-5D6E-409C-BE32-E72D297353CC}">
                <c16:uniqueId val="{00000003-A3C8-4EF6-B034-D9A0F458ED21}"/>
              </c:ext>
            </c:extLst>
          </c:dPt>
          <c:val>
            <c:numRef>
              <c:f>'Pivot Tables'!$AQ$3:$AR$3</c:f>
              <c:numCache>
                <c:formatCode>0.00%</c:formatCode>
                <c:ptCount val="2"/>
                <c:pt idx="0" formatCode="&quot;$&quot;#,##0;\-&quot;$&quot;#,##0">
                  <c:v>10034</c:v>
                </c:pt>
                <c:pt idx="1">
                  <c:v>4.7219801257061319E-3</c:v>
                </c:pt>
              </c:numCache>
            </c:numRef>
          </c:val>
          <c:extLst>
            <c:ext xmlns:c16="http://schemas.microsoft.com/office/drawing/2014/chart" uri="{C3380CC4-5D6E-409C-BE32-E72D297353CC}">
              <c16:uniqueId val="{00000004-A3C8-4EF6-B034-D9A0F458ED21}"/>
            </c:ext>
          </c:extLst>
        </c:ser>
        <c:ser>
          <c:idx val="1"/>
          <c:order val="1"/>
          <c:tx>
            <c:strRef>
              <c:f>'Pivot Tables'!$AP$4</c:f>
              <c:strCache>
                <c:ptCount val="1"/>
                <c:pt idx="0">
                  <c:v>OPS</c:v>
                </c:pt>
              </c:strCache>
            </c:strRef>
          </c:tx>
          <c:spPr>
            <a:solidFill>
              <a:srgbClr val="194AFE"/>
            </a:solidFill>
            <a:ln>
              <a:noFill/>
            </a:ln>
          </c:spPr>
          <c:dPt>
            <c:idx val="0"/>
            <c:bubble3D val="0"/>
            <c:spPr>
              <a:solidFill>
                <a:srgbClr val="194AFE"/>
              </a:solidFill>
              <a:ln w="19050">
                <a:solidFill>
                  <a:srgbClr val="070E25"/>
                </a:solidFill>
              </a:ln>
              <a:effectLst/>
            </c:spPr>
            <c:extLst>
              <c:ext xmlns:c16="http://schemas.microsoft.com/office/drawing/2014/chart" uri="{C3380CC4-5D6E-409C-BE32-E72D297353CC}">
                <c16:uniqueId val="{00000006-A3C8-4EF6-B034-D9A0F458ED21}"/>
              </c:ext>
            </c:extLst>
          </c:dPt>
          <c:dPt>
            <c:idx val="1"/>
            <c:bubble3D val="0"/>
            <c:spPr>
              <a:solidFill>
                <a:srgbClr val="98F8F2"/>
              </a:solidFill>
              <a:ln w="19050">
                <a:noFill/>
              </a:ln>
              <a:effectLst/>
            </c:spPr>
            <c:extLst>
              <c:ext xmlns:c16="http://schemas.microsoft.com/office/drawing/2014/chart" uri="{C3380CC4-5D6E-409C-BE32-E72D297353CC}">
                <c16:uniqueId val="{00000008-A3C8-4EF6-B034-D9A0F458ED21}"/>
              </c:ext>
            </c:extLst>
          </c:dPt>
          <c:val>
            <c:numRef>
              <c:f>'Pivot Tables'!$AQ$4:$AR$4</c:f>
              <c:numCache>
                <c:formatCode>0.00%</c:formatCode>
                <c:ptCount val="2"/>
                <c:pt idx="0" formatCode="&quot;$&quot;#,##0;\-&quot;$&quot;#,##0">
                  <c:v>2114922</c:v>
                </c:pt>
                <c:pt idx="1">
                  <c:v>0.99527801987429387</c:v>
                </c:pt>
              </c:numCache>
            </c:numRef>
          </c:val>
          <c:extLst>
            <c:ext xmlns:c16="http://schemas.microsoft.com/office/drawing/2014/chart" uri="{C3380CC4-5D6E-409C-BE32-E72D297353CC}">
              <c16:uniqueId val="{00000009-A3C8-4EF6-B034-D9A0F458ED21}"/>
            </c:ext>
          </c:extLst>
        </c:ser>
        <c:dLbls>
          <c:showLegendKey val="0"/>
          <c:showVal val="0"/>
          <c:showCatName val="0"/>
          <c:showSerName val="0"/>
          <c:showPercent val="0"/>
          <c:showBubbleSize val="0"/>
          <c:showLeaderLines val="1"/>
        </c:dLbls>
        <c:firstSliceAng val="36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[Feedlot Economics_Updated_VBA.xlsm]Pivot Tables!PivotTable3</c:name>
    <c:fmtId val="16"/>
  </c:pivotSource>
  <c:chart>
    <c:autoTitleDeleted val="0"/>
    <c:pivotFmts>
      <c:pivotFmt>
        <c:idx val="0"/>
        <c:spPr>
          <a:solidFill>
            <a:schemeClr val="accent1"/>
          </a:solidFill>
          <a:ln w="12700"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100000">
                <a:schemeClr val="tx1"/>
              </a:gs>
              <a:gs pos="31000">
                <a:srgbClr val="194AFE"/>
              </a:gs>
            </a:gsLst>
            <a:lin ang="54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100000">
                <a:schemeClr val="tx1"/>
              </a:gs>
              <a:gs pos="31000">
                <a:srgbClr val="194AFE"/>
              </a:gs>
            </a:gsLst>
            <a:lin ang="54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2700"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100000">
                <a:srgbClr val="194AFE">
                  <a:alpha val="0"/>
                </a:srgbClr>
              </a:gs>
              <a:gs pos="32000">
                <a:srgbClr val="194AFE">
                  <a:alpha val="83000"/>
                </a:srgbClr>
              </a:gs>
            </a:gsLst>
            <a:lin ang="54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5875"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flip="none" rotWithShape="1">
            <a:gsLst>
              <a:gs pos="100000">
                <a:srgbClr val="194AFE">
                  <a:alpha val="0"/>
                </a:srgbClr>
              </a:gs>
              <a:gs pos="32000">
                <a:srgbClr val="194AFE">
                  <a:alpha val="83000"/>
                </a:srgbClr>
              </a:gs>
            </a:gsLst>
            <a:lin ang="54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5875"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flip="none" rotWithShape="1">
            <a:gsLst>
              <a:gs pos="100000">
                <a:srgbClr val="194AFE">
                  <a:alpha val="0"/>
                </a:srgbClr>
              </a:gs>
              <a:gs pos="32000">
                <a:srgbClr val="194AFE">
                  <a:alpha val="83000"/>
                </a:srgbClr>
              </a:gs>
            </a:gsLst>
            <a:lin ang="54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15875"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1"/>
          <c:order val="1"/>
          <c:tx>
            <c:strRef>
              <c:f>'Pivot Tables'!$AB$3</c:f>
              <c:strCache>
                <c:ptCount val="1"/>
                <c:pt idx="0">
                  <c:v>Sum of Input Cost 2</c:v>
                </c:pt>
              </c:strCache>
            </c:strRef>
          </c:tx>
          <c:spPr>
            <a:gradFill flip="none" rotWithShape="1">
              <a:gsLst>
                <a:gs pos="100000">
                  <a:srgbClr val="194AFE">
                    <a:alpha val="0"/>
                  </a:srgbClr>
                </a:gs>
                <a:gs pos="32000">
                  <a:srgbClr val="194AFE">
                    <a:alpha val="83000"/>
                  </a:srgbClr>
                </a:gs>
              </a:gsLst>
              <a:lin ang="5400000" scaled="0"/>
              <a:tileRect/>
            </a:gradFill>
            <a:ln>
              <a:noFill/>
            </a:ln>
            <a:effectLst/>
          </c:spPr>
          <c:cat>
            <c:strRef>
              <c:f>'Pivot Tables'!$Z$4:$Z$12</c:f>
              <c:strCache>
                <c:ptCount val="8"/>
                <c:pt idx="0">
                  <c:v>Month 1</c:v>
                </c:pt>
                <c:pt idx="1">
                  <c:v>Month 2</c:v>
                </c:pt>
                <c:pt idx="2">
                  <c:v>Month 3</c:v>
                </c:pt>
                <c:pt idx="3">
                  <c:v>Month 4</c:v>
                </c:pt>
                <c:pt idx="4">
                  <c:v>Month 5</c:v>
                </c:pt>
                <c:pt idx="5">
                  <c:v>Month 6</c:v>
                </c:pt>
                <c:pt idx="6">
                  <c:v>Month 7</c:v>
                </c:pt>
                <c:pt idx="7">
                  <c:v>Month 8</c:v>
                </c:pt>
              </c:strCache>
            </c:strRef>
          </c:cat>
          <c:val>
            <c:numRef>
              <c:f>'Pivot Tables'!$AB$4:$AB$12</c:f>
              <c:numCache>
                <c:formatCode>"$"#,##0;\-"$"#,##0</c:formatCode>
                <c:ptCount val="8"/>
                <c:pt idx="0">
                  <c:v>121623.14310630818</c:v>
                </c:pt>
                <c:pt idx="1">
                  <c:v>73358.060591311456</c:v>
                </c:pt>
                <c:pt idx="2">
                  <c:v>253638.86193732367</c:v>
                </c:pt>
                <c:pt idx="3">
                  <c:v>311053.97538166295</c:v>
                </c:pt>
                <c:pt idx="4">
                  <c:v>452358.11240537884</c:v>
                </c:pt>
                <c:pt idx="5">
                  <c:v>375983.61171341466</c:v>
                </c:pt>
                <c:pt idx="6">
                  <c:v>303498.09776101133</c:v>
                </c:pt>
                <c:pt idx="7">
                  <c:v>233442.13710358876</c:v>
                </c:pt>
              </c:numCache>
            </c:numRef>
          </c:val>
          <c:extLst>
            <c:ext xmlns:c16="http://schemas.microsoft.com/office/drawing/2014/chart" uri="{C3380CC4-5D6E-409C-BE32-E72D297353CC}">
              <c16:uniqueId val="{00000000-EC33-42F1-ABA5-BDDF0CCD8F46}"/>
            </c:ext>
          </c:extLst>
        </c:ser>
        <c:dLbls>
          <c:showLegendKey val="0"/>
          <c:showVal val="0"/>
          <c:showCatName val="0"/>
          <c:showSerName val="0"/>
          <c:showPercent val="0"/>
          <c:showBubbleSize val="0"/>
        </c:dLbls>
        <c:axId val="1874204159"/>
        <c:axId val="1501350751"/>
      </c:areaChart>
      <c:lineChart>
        <c:grouping val="standard"/>
        <c:varyColors val="0"/>
        <c:ser>
          <c:idx val="0"/>
          <c:order val="0"/>
          <c:tx>
            <c:strRef>
              <c:f>'Pivot Tables'!$AA$3</c:f>
              <c:strCache>
                <c:ptCount val="1"/>
                <c:pt idx="0">
                  <c:v>Sum of Input Cost </c:v>
                </c:pt>
              </c:strCache>
            </c:strRef>
          </c:tx>
          <c:spPr>
            <a:ln w="15875" cap="rnd">
              <a:solidFill>
                <a:srgbClr val="194AFE"/>
              </a:solidFill>
              <a:round/>
            </a:ln>
            <a:effectLst/>
          </c:spPr>
          <c:marker>
            <c:symbol val="none"/>
          </c:marker>
          <c:cat>
            <c:strRef>
              <c:f>'Pivot Tables'!$Z$4:$Z$12</c:f>
              <c:strCache>
                <c:ptCount val="8"/>
                <c:pt idx="0">
                  <c:v>Month 1</c:v>
                </c:pt>
                <c:pt idx="1">
                  <c:v>Month 2</c:v>
                </c:pt>
                <c:pt idx="2">
                  <c:v>Month 3</c:v>
                </c:pt>
                <c:pt idx="3">
                  <c:v>Month 4</c:v>
                </c:pt>
                <c:pt idx="4">
                  <c:v>Month 5</c:v>
                </c:pt>
                <c:pt idx="5">
                  <c:v>Month 6</c:v>
                </c:pt>
                <c:pt idx="6">
                  <c:v>Month 7</c:v>
                </c:pt>
                <c:pt idx="7">
                  <c:v>Month 8</c:v>
                </c:pt>
              </c:strCache>
            </c:strRef>
          </c:cat>
          <c:val>
            <c:numRef>
              <c:f>'Pivot Tables'!$AA$4:$AA$12</c:f>
              <c:numCache>
                <c:formatCode>"$"#,##0;\-"$"#,##0</c:formatCode>
                <c:ptCount val="8"/>
                <c:pt idx="0">
                  <c:v>121623.14310630818</c:v>
                </c:pt>
                <c:pt idx="1">
                  <c:v>73358.060591311456</c:v>
                </c:pt>
                <c:pt idx="2">
                  <c:v>253638.86193732367</c:v>
                </c:pt>
                <c:pt idx="3">
                  <c:v>311053.97538166295</c:v>
                </c:pt>
                <c:pt idx="4">
                  <c:v>452358.11240537884</c:v>
                </c:pt>
                <c:pt idx="5">
                  <c:v>375983.61171341466</c:v>
                </c:pt>
                <c:pt idx="6">
                  <c:v>303498.09776101133</c:v>
                </c:pt>
                <c:pt idx="7">
                  <c:v>233442.13710358876</c:v>
                </c:pt>
              </c:numCache>
            </c:numRef>
          </c:val>
          <c:smooth val="0"/>
          <c:extLst>
            <c:ext xmlns:c16="http://schemas.microsoft.com/office/drawing/2014/chart" uri="{C3380CC4-5D6E-409C-BE32-E72D297353CC}">
              <c16:uniqueId val="{00000001-EC33-42F1-ABA5-BDDF0CCD8F46}"/>
            </c:ext>
          </c:extLst>
        </c:ser>
        <c:dLbls>
          <c:showLegendKey val="0"/>
          <c:showVal val="0"/>
          <c:showCatName val="0"/>
          <c:showSerName val="0"/>
          <c:showPercent val="0"/>
          <c:showBubbleSize val="0"/>
        </c:dLbls>
        <c:marker val="1"/>
        <c:smooth val="0"/>
        <c:axId val="1874204159"/>
        <c:axId val="1501350751"/>
      </c:lineChart>
      <c:catAx>
        <c:axId val="1874204159"/>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US"/>
          </a:p>
        </c:txPr>
        <c:crossAx val="1501350751"/>
        <c:crosses val="autoZero"/>
        <c:auto val="1"/>
        <c:lblAlgn val="ctr"/>
        <c:lblOffset val="100"/>
        <c:noMultiLvlLbl val="0"/>
      </c:catAx>
      <c:valAx>
        <c:axId val="1501350751"/>
        <c:scaling>
          <c:orientation val="minMax"/>
        </c:scaling>
        <c:delete val="1"/>
        <c:axPos val="l"/>
        <c:numFmt formatCode="&quot;$&quot;#,##0;\-&quot;$&quot;#,##0" sourceLinked="1"/>
        <c:majorTickMark val="none"/>
        <c:minorTickMark val="none"/>
        <c:tickLblPos val="nextTo"/>
        <c:crossAx val="1874204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[Feedlot Economics_Updated_VBA.xlsm]Pivot Tables!PivotTable10</c:name>
    <c:fmtId val="29"/>
  </c:pivotSource>
  <c:chart>
    <c:autoTitleDeleted val="0"/>
    <c:pivotFmts>
      <c:pivotFmt>
        <c:idx val="0"/>
        <c:spPr>
          <a:gradFill flip="none" rotWithShape="1">
            <a:gsLst>
              <a:gs pos="87000">
                <a:srgbClr val="7030A0"/>
              </a:gs>
              <a:gs pos="0">
                <a:srgbClr val="FEE6FC"/>
              </a:gs>
            </a:gsLst>
            <a:path path="shap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2000">
                <a:srgbClr val="FEE6FC"/>
              </a:gs>
              <a:gs pos="91000">
                <a:srgbClr val="F86EB0"/>
              </a:gs>
            </a:gsLst>
            <a:path path="shape">
              <a:fillToRect l="50000" t="50000" r="50000" b="50000"/>
            </a:path>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93000">
                <a:srgbClr val="F86EB0"/>
              </a:gs>
              <a:gs pos="0">
                <a:srgbClr val="FEE6FC"/>
              </a:gs>
            </a:gsLst>
            <a:path path="shap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91000">
                <a:srgbClr val="7030A0"/>
              </a:gs>
              <a:gs pos="0">
                <a:srgbClr val="FEE6FC"/>
              </a:gs>
            </a:gsLst>
            <a:lin ang="5400000" scaled="1"/>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100000">
                <a:srgbClr val="F86EB0"/>
              </a:gs>
              <a:gs pos="12000">
                <a:srgbClr val="FEE6FC"/>
              </a:gs>
            </a:gsLst>
            <a:path path="shape">
              <a:fillToRect l="50000" t="50000" r="50000" b="50000"/>
            </a:path>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flip="none" rotWithShape="1">
            <a:gsLst>
              <a:gs pos="100000">
                <a:srgbClr val="7030A0"/>
              </a:gs>
              <a:gs pos="0">
                <a:srgbClr val="F86EB0"/>
              </a:gs>
            </a:gsLst>
            <a:path path="shap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89000">
                <a:srgbClr val="FEE6FC"/>
              </a:gs>
              <a:gs pos="0">
                <a:srgbClr val="F86EB0"/>
              </a:gs>
            </a:gsLst>
            <a:path path="shape">
              <a:fillToRect l="50000" t="50000" r="50000" b="50000"/>
            </a:path>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45000">
                <a:srgbClr val="F86EB0"/>
              </a:gs>
              <a:gs pos="83000">
                <a:srgbClr val="FEE6FC"/>
              </a:gs>
            </a:gsLst>
            <a:path path="circle">
              <a:fillToRect l="100000" t="100000"/>
            </a:path>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flip="none" rotWithShape="1">
            <a:gsLst>
              <a:gs pos="0">
                <a:srgbClr val="7030A0"/>
              </a:gs>
              <a:gs pos="90000">
                <a:srgbClr val="F86EB0"/>
              </a:gs>
            </a:gsLst>
            <a:lin ang="2700000" scaled="1"/>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a:gsLst>
              <a:gs pos="39000">
                <a:srgbClr val="F86EB0"/>
              </a:gs>
              <a:gs pos="100000">
                <a:srgbClr val="FEE6FC"/>
              </a:gs>
            </a:gsLst>
            <a:path path="shape">
              <a:fillToRect l="50000" t="50000" r="50000" b="50000"/>
            </a:path>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flip="none" rotWithShape="1">
            <a:gsLst>
              <a:gs pos="0">
                <a:srgbClr val="C240D8"/>
              </a:gs>
              <a:gs pos="100000">
                <a:srgbClr val="FEE6FC"/>
              </a:gs>
            </a:gsLst>
            <a:path path="shap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flip="none" rotWithShape="1">
            <a:gsLst>
              <a:gs pos="100000">
                <a:srgbClr val="7030A0"/>
              </a:gs>
              <a:gs pos="56000">
                <a:srgbClr val="F86EB0"/>
              </a:gs>
            </a:gsLst>
            <a:path path="shap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a:gsLst>
              <a:gs pos="100000">
                <a:srgbClr val="7030A0"/>
              </a:gs>
              <a:gs pos="70000">
                <a:srgbClr val="FEE6FC"/>
              </a:gs>
            </a:gsLst>
            <a:path path="shape">
              <a:fillToRect l="50000" t="50000" r="50000" b="50000"/>
            </a:path>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flip="none" rotWithShape="1">
            <a:gsLst>
              <a:gs pos="100000">
                <a:srgbClr val="7030A0"/>
              </a:gs>
              <a:gs pos="0">
                <a:schemeClr val="bg1"/>
              </a:gs>
            </a:gsLst>
            <a:path path="rect">
              <a:fillToRect l="100000" t="100000"/>
            </a:path>
            <a:tileRect r="-100000" b="-100000"/>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flip="none" rotWithShape="1">
            <a:gsLst>
              <a:gs pos="90000">
                <a:schemeClr val="bg1"/>
              </a:gs>
              <a:gs pos="0">
                <a:srgbClr val="F86EB0"/>
              </a:gs>
            </a:gsLst>
            <a:lin ang="2700000" scaled="1"/>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gradFill flip="none" rotWithShape="1">
            <a:gsLst>
              <a:gs pos="89000">
                <a:srgbClr val="7030A0"/>
              </a:gs>
              <a:gs pos="0">
                <a:srgbClr val="F86EB0"/>
              </a:gs>
            </a:gsLst>
            <a:path path="shap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gradFill flip="none" rotWithShape="1">
            <a:gsLst>
              <a:gs pos="100000">
                <a:srgbClr val="7030A0"/>
              </a:gs>
              <a:gs pos="0">
                <a:srgbClr val="FEE6FC"/>
              </a:gs>
            </a:gsLst>
            <a:path path="shap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gradFill flip="none" rotWithShape="1">
            <a:gsLst>
              <a:gs pos="38000">
                <a:srgbClr val="F86EB0"/>
              </a:gs>
              <a:gs pos="100000">
                <a:srgbClr val="FEE6FC"/>
              </a:gs>
            </a:gsLst>
            <a:path path="shap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gradFill flip="none" rotWithShape="1">
            <a:gsLst>
              <a:gs pos="0">
                <a:srgbClr val="C240D8"/>
              </a:gs>
              <a:gs pos="100000">
                <a:srgbClr val="FEE6FC"/>
              </a:gs>
            </a:gsLst>
            <a:path path="shape">
              <a:fillToRect l="50000" t="50000" r="50000" b="50000"/>
            </a:path>
            <a:tileRect/>
          </a:gradFill>
          <a:ln>
            <a:noFill/>
          </a:ln>
          <a:effectLst/>
        </c:spPr>
        <c:dLbl>
          <c:idx val="0"/>
          <c:layout>
            <c:manualLayout>
              <c:x val="-8.609264285023419E-17"/>
              <c:y val="4.4835180353095194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flip="none" rotWithShape="1">
            <a:gsLst>
              <a:gs pos="87000">
                <a:srgbClr val="7030A0"/>
              </a:gs>
              <a:gs pos="0">
                <a:srgbClr val="FEE6FC"/>
              </a:gs>
            </a:gsLst>
            <a:path path="shape">
              <a:fillToRect l="50000" t="50000" r="50000" b="50000"/>
            </a:path>
            <a:tileRect/>
          </a:gradFill>
          <a:ln>
            <a:noFill/>
          </a:ln>
          <a:effectLst/>
        </c:spPr>
        <c:dLbl>
          <c:idx val="0"/>
          <c:layout>
            <c:manualLayout>
              <c:x val="1.1740041463607859E-3"/>
              <c:y val="5.0109907453459335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gradFill flip="none" rotWithShape="1">
            <a:gsLst>
              <a:gs pos="93000">
                <a:srgbClr val="F86EB0"/>
              </a:gs>
              <a:gs pos="0">
                <a:srgbClr val="FEE6FC"/>
              </a:gs>
            </a:gsLst>
            <a:path path="shape">
              <a:fillToRect l="50000" t="50000" r="50000" b="50000"/>
            </a:path>
            <a:tileRect/>
          </a:gradFill>
          <a:ln>
            <a:noFill/>
          </a:ln>
          <a:effectLst/>
        </c:spPr>
        <c:dLbl>
          <c:idx val="0"/>
          <c:layout>
            <c:manualLayout>
              <c:x val="-4.3046321425117095E-17"/>
              <c:y val="-5.0109907453459362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gradFill>
            <a:gsLst>
              <a:gs pos="45000">
                <a:srgbClr val="F86EB0"/>
              </a:gs>
              <a:gs pos="83000">
                <a:srgbClr val="FEE6FC"/>
              </a:gs>
            </a:gsLst>
            <a:path path="circle">
              <a:fillToRect l="100000" t="100000"/>
            </a:path>
          </a:gradFill>
          <a:ln>
            <a:noFill/>
          </a:ln>
          <a:effectLst/>
        </c:spPr>
        <c:dLbl>
          <c:idx val="0"/>
          <c:layout>
            <c:manualLayout>
              <c:x val="1.1740041463607859E-3"/>
              <c:y val="-4.4835180353095229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gradFill flip="none" rotWithShape="1">
            <a:gsLst>
              <a:gs pos="100000">
                <a:srgbClr val="7030A0"/>
              </a:gs>
              <a:gs pos="0">
                <a:srgbClr val="FEE6FC"/>
              </a:gs>
            </a:gsLst>
            <a:path path="shape">
              <a:fillToRect l="50000" t="50000" r="50000" b="50000"/>
            </a:path>
            <a:tileRect/>
          </a:gradFill>
          <a:ln>
            <a:noFill/>
          </a:ln>
          <a:effectLst/>
        </c:spPr>
        <c:dLbl>
          <c:idx val="0"/>
          <c:layout>
            <c:manualLayout>
              <c:x val="0"/>
              <c:y val="-4.4835180353095229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gradFill>
            <a:gsLst>
              <a:gs pos="89000">
                <a:srgbClr val="FEE6FC"/>
              </a:gs>
              <a:gs pos="0">
                <a:srgbClr val="F86EB0"/>
              </a:gs>
            </a:gsLst>
            <a:path path="shape">
              <a:fillToRect l="50000" t="50000" r="50000" b="50000"/>
            </a:path>
          </a:gradFill>
          <a:ln>
            <a:noFill/>
          </a:ln>
          <a:effectLst/>
        </c:spPr>
        <c:dLbl>
          <c:idx val="0"/>
          <c:layout>
            <c:manualLayout>
              <c:x val="0"/>
              <c:y val="-4.747254390327748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gradFill flip="none" rotWithShape="1">
            <a:gsLst>
              <a:gs pos="87000">
                <a:srgbClr val="7030A0"/>
              </a:gs>
              <a:gs pos="0">
                <a:srgbClr val="FEE6FC"/>
              </a:gs>
            </a:gsLst>
            <a:path path="shap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gradFill flip="none" rotWithShape="1">
            <a:gsLst>
              <a:gs pos="87000">
                <a:srgbClr val="7030A0"/>
              </a:gs>
              <a:gs pos="0">
                <a:srgbClr val="FEE6FC"/>
              </a:gs>
            </a:gsLst>
            <a:path path="shape">
              <a:fillToRect l="50000" t="50000" r="50000" b="50000"/>
            </a:path>
            <a:tileRect/>
          </a:gradFill>
          <a:ln>
            <a:noFill/>
          </a:ln>
          <a:effectLst/>
        </c:spPr>
        <c:dLbl>
          <c:idx val="0"/>
          <c:layout>
            <c:manualLayout>
              <c:x val="1.1740041463607859E-3"/>
              <c:y val="5.0109907453459335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gradFill>
            <a:gsLst>
              <a:gs pos="2000">
                <a:srgbClr val="FEE6FC"/>
              </a:gs>
              <a:gs pos="91000">
                <a:srgbClr val="F86EB0"/>
              </a:gs>
            </a:gsLst>
            <a:path path="shape">
              <a:fillToRect l="50000" t="50000" r="50000" b="50000"/>
            </a:path>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gradFill flip="none" rotWithShape="1">
            <a:gsLst>
              <a:gs pos="93000">
                <a:srgbClr val="F86EB0"/>
              </a:gs>
              <a:gs pos="0">
                <a:srgbClr val="FEE6FC"/>
              </a:gs>
            </a:gsLst>
            <a:path path="shap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gradFill flip="none" rotWithShape="1">
            <a:gsLst>
              <a:gs pos="93000">
                <a:srgbClr val="F86EB0"/>
              </a:gs>
              <a:gs pos="0">
                <a:srgbClr val="FEE6FC"/>
              </a:gs>
            </a:gsLst>
            <a:path path="shape">
              <a:fillToRect l="50000" t="50000" r="50000" b="50000"/>
            </a:path>
            <a:tileRect/>
          </a:gradFill>
          <a:ln>
            <a:noFill/>
          </a:ln>
          <a:effectLst/>
        </c:spPr>
        <c:dLbl>
          <c:idx val="0"/>
          <c:layout>
            <c:manualLayout>
              <c:x val="-4.3046321425117095E-17"/>
              <c:y val="-5.0109907453459362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gradFill>
            <a:gsLst>
              <a:gs pos="91000">
                <a:srgbClr val="7030A0"/>
              </a:gs>
              <a:gs pos="0">
                <a:srgbClr val="FEE6FC"/>
              </a:gs>
            </a:gsLst>
            <a:lin ang="5400000" scaled="1"/>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gradFill>
            <a:gsLst>
              <a:gs pos="100000">
                <a:srgbClr val="F86EB0"/>
              </a:gs>
              <a:gs pos="12000">
                <a:srgbClr val="FEE6FC"/>
              </a:gs>
            </a:gsLst>
            <a:path path="shape">
              <a:fillToRect l="50000" t="50000" r="50000" b="50000"/>
            </a:path>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gradFill flip="none" rotWithShape="1">
            <a:gsLst>
              <a:gs pos="100000">
                <a:srgbClr val="7030A0"/>
              </a:gs>
              <a:gs pos="0">
                <a:srgbClr val="F86EB0"/>
              </a:gs>
            </a:gsLst>
            <a:path path="shap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gradFill>
            <a:gsLst>
              <a:gs pos="89000">
                <a:srgbClr val="FEE6FC"/>
              </a:gs>
              <a:gs pos="0">
                <a:srgbClr val="F86EB0"/>
              </a:gs>
            </a:gsLst>
            <a:path path="shape">
              <a:fillToRect l="50000" t="50000" r="50000" b="50000"/>
            </a:path>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gradFill>
            <a:gsLst>
              <a:gs pos="89000">
                <a:srgbClr val="FEE6FC"/>
              </a:gs>
              <a:gs pos="0">
                <a:srgbClr val="F86EB0"/>
              </a:gs>
            </a:gsLst>
            <a:path path="shape">
              <a:fillToRect l="50000" t="50000" r="50000" b="50000"/>
            </a:path>
          </a:gradFill>
          <a:ln>
            <a:noFill/>
          </a:ln>
          <a:effectLst/>
        </c:spPr>
        <c:dLbl>
          <c:idx val="0"/>
          <c:layout>
            <c:manualLayout>
              <c:x val="0"/>
              <c:y val="-4.747254390327748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gradFill>
            <a:gsLst>
              <a:gs pos="45000">
                <a:srgbClr val="F86EB0"/>
              </a:gs>
              <a:gs pos="83000">
                <a:srgbClr val="FEE6FC"/>
              </a:gs>
            </a:gsLst>
            <a:path path="circle">
              <a:fillToRect l="100000" t="100000"/>
            </a:path>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gradFill>
            <a:gsLst>
              <a:gs pos="45000">
                <a:srgbClr val="F86EB0"/>
              </a:gs>
              <a:gs pos="83000">
                <a:srgbClr val="FEE6FC"/>
              </a:gs>
            </a:gsLst>
            <a:path path="circle">
              <a:fillToRect l="100000" t="100000"/>
            </a:path>
          </a:gradFill>
          <a:ln>
            <a:noFill/>
          </a:ln>
          <a:effectLst/>
        </c:spPr>
        <c:dLbl>
          <c:idx val="0"/>
          <c:layout>
            <c:manualLayout>
              <c:x val="1.1740041463607859E-3"/>
              <c:y val="-4.4835180353095229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gradFill flip="none" rotWithShape="1">
            <a:gsLst>
              <a:gs pos="0">
                <a:srgbClr val="7030A0"/>
              </a:gs>
              <a:gs pos="90000">
                <a:srgbClr val="F86EB0"/>
              </a:gs>
            </a:gsLst>
            <a:lin ang="2700000" scaled="1"/>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gradFill>
            <a:gsLst>
              <a:gs pos="39000">
                <a:srgbClr val="F86EB0"/>
              </a:gs>
              <a:gs pos="100000">
                <a:srgbClr val="FEE6FC"/>
              </a:gs>
            </a:gsLst>
            <a:path path="shape">
              <a:fillToRect l="50000" t="50000" r="50000" b="50000"/>
            </a:path>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gradFill flip="none" rotWithShape="1">
            <a:gsLst>
              <a:gs pos="0">
                <a:srgbClr val="C240D8"/>
              </a:gs>
              <a:gs pos="100000">
                <a:srgbClr val="FEE6FC"/>
              </a:gs>
            </a:gsLst>
            <a:path path="shap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gradFill flip="none" rotWithShape="1">
            <a:gsLst>
              <a:gs pos="0">
                <a:srgbClr val="C240D8"/>
              </a:gs>
              <a:gs pos="100000">
                <a:srgbClr val="FEE6FC"/>
              </a:gs>
            </a:gsLst>
            <a:path path="shape">
              <a:fillToRect l="50000" t="50000" r="50000" b="50000"/>
            </a:path>
            <a:tileRect/>
          </a:gradFill>
          <a:ln>
            <a:noFill/>
          </a:ln>
          <a:effectLst/>
        </c:spPr>
        <c:dLbl>
          <c:idx val="0"/>
          <c:layout>
            <c:manualLayout>
              <c:x val="-8.609264285023419E-17"/>
              <c:y val="4.4835180353095194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gradFill flip="none" rotWithShape="1">
            <a:gsLst>
              <a:gs pos="100000">
                <a:srgbClr val="7030A0"/>
              </a:gs>
              <a:gs pos="56000">
                <a:srgbClr val="F86EB0"/>
              </a:gs>
            </a:gsLst>
            <a:path path="shap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gradFill>
            <a:gsLst>
              <a:gs pos="100000">
                <a:srgbClr val="7030A0"/>
              </a:gs>
              <a:gs pos="70000">
                <a:srgbClr val="FEE6FC"/>
              </a:gs>
            </a:gsLst>
            <a:path path="shape">
              <a:fillToRect l="50000" t="50000" r="50000" b="50000"/>
            </a:path>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gradFill flip="none" rotWithShape="1">
            <a:gsLst>
              <a:gs pos="100000">
                <a:srgbClr val="7030A0"/>
              </a:gs>
              <a:gs pos="0">
                <a:schemeClr val="bg1"/>
              </a:gs>
            </a:gsLst>
            <a:path path="rect">
              <a:fillToRect l="100000" t="100000"/>
            </a:path>
            <a:tileRect r="-100000" b="-100000"/>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spPr>
          <a:gradFill flip="none" rotWithShape="1">
            <a:gsLst>
              <a:gs pos="90000">
                <a:schemeClr val="bg1"/>
              </a:gs>
              <a:gs pos="0">
                <a:srgbClr val="F86EB0"/>
              </a:gs>
            </a:gsLst>
            <a:lin ang="2700000" scaled="1"/>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spPr>
          <a:gradFill flip="none" rotWithShape="1">
            <a:gsLst>
              <a:gs pos="89000">
                <a:srgbClr val="7030A0"/>
              </a:gs>
              <a:gs pos="0">
                <a:srgbClr val="F86EB0"/>
              </a:gs>
            </a:gsLst>
            <a:path path="shap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
        <c:spPr>
          <a:gradFill flip="none" rotWithShape="1">
            <a:gsLst>
              <a:gs pos="100000">
                <a:srgbClr val="7030A0"/>
              </a:gs>
              <a:gs pos="0">
                <a:srgbClr val="FEE6FC"/>
              </a:gs>
            </a:gsLst>
            <a:path path="shap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gradFill flip="none" rotWithShape="1">
            <a:gsLst>
              <a:gs pos="100000">
                <a:srgbClr val="7030A0"/>
              </a:gs>
              <a:gs pos="0">
                <a:srgbClr val="FEE6FC"/>
              </a:gs>
            </a:gsLst>
            <a:path path="shape">
              <a:fillToRect l="50000" t="50000" r="50000" b="50000"/>
            </a:path>
            <a:tileRect/>
          </a:gradFill>
          <a:ln>
            <a:noFill/>
          </a:ln>
          <a:effectLst/>
        </c:spPr>
        <c:dLbl>
          <c:idx val="0"/>
          <c:layout>
            <c:manualLayout>
              <c:x val="0"/>
              <c:y val="-4.4835180353095229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
        <c:spPr>
          <a:gradFill flip="none" rotWithShape="1">
            <a:gsLst>
              <a:gs pos="38000">
                <a:srgbClr val="F86EB0"/>
              </a:gs>
              <a:gs pos="100000">
                <a:srgbClr val="FEE6FC"/>
              </a:gs>
            </a:gsLst>
            <a:path path="shap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
        <c:spPr>
          <a:gradFill flip="none" rotWithShape="1">
            <a:gsLst>
              <a:gs pos="87000">
                <a:srgbClr val="7030A0"/>
              </a:gs>
              <a:gs pos="0">
                <a:srgbClr val="FEE6FC"/>
              </a:gs>
            </a:gsLst>
            <a:path path="shap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9"/>
        <c:spPr>
          <a:gradFill flip="none" rotWithShape="1">
            <a:gsLst>
              <a:gs pos="87000">
                <a:srgbClr val="7030A0"/>
              </a:gs>
              <a:gs pos="0">
                <a:srgbClr val="FEE6FC"/>
              </a:gs>
            </a:gsLst>
            <a:path path="shape">
              <a:fillToRect l="50000" t="50000" r="50000" b="50000"/>
            </a:path>
            <a:tileRect/>
          </a:gradFill>
          <a:ln>
            <a:noFill/>
          </a:ln>
          <a:effectLst/>
        </c:spPr>
        <c:dLbl>
          <c:idx val="0"/>
          <c:layout>
            <c:manualLayout>
              <c:x val="5.7874010323020065E-4"/>
              <c:y val="5.010996768850632E-2"/>
            </c:manualLayout>
          </c:layout>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10252379991340459"/>
                  <c:h val="3.4202541205868249E-2"/>
                </c:manualLayout>
              </c15:layout>
            </c:ext>
          </c:extLst>
        </c:dLbl>
      </c:pivotFmt>
      <c:pivotFmt>
        <c:idx val="50"/>
        <c:spPr>
          <a:gradFill>
            <a:gsLst>
              <a:gs pos="2000">
                <a:srgbClr val="FEE6FC"/>
              </a:gs>
              <a:gs pos="91000">
                <a:srgbClr val="F86EB0"/>
              </a:gs>
            </a:gsLst>
            <a:path path="shape">
              <a:fillToRect l="50000" t="50000" r="50000" b="50000"/>
            </a:path>
          </a:gradFill>
          <a:ln>
            <a:noFill/>
          </a:ln>
          <a:effectLst/>
        </c:spPr>
        <c:marker>
          <c:symbol val="none"/>
        </c:marker>
        <c:dLbl>
          <c:idx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
        <c:spPr>
          <a:gradFill flip="none" rotWithShape="1">
            <a:gsLst>
              <a:gs pos="93000">
                <a:srgbClr val="F86EB0"/>
              </a:gs>
              <a:gs pos="0">
                <a:srgbClr val="FEE6FC"/>
              </a:gs>
            </a:gsLst>
            <a:path path="shape">
              <a:fillToRect l="50000" t="50000" r="50000" b="5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
        <c:spPr>
          <a:gradFill flip="none" rotWithShape="1">
            <a:gsLst>
              <a:gs pos="93000">
                <a:srgbClr val="F86EB0"/>
              </a:gs>
              <a:gs pos="0">
                <a:srgbClr val="FEE6FC"/>
              </a:gs>
            </a:gsLst>
            <a:path path="shape">
              <a:fillToRect l="50000" t="50000" r="50000" b="50000"/>
            </a:path>
            <a:tileRect/>
          </a:gradFill>
          <a:ln>
            <a:noFill/>
          </a:ln>
          <a:effectLst/>
        </c:spPr>
        <c:dLbl>
          <c:idx val="0"/>
          <c:layout>
            <c:manualLayout>
              <c:x val="1.5561696704475651E-3"/>
              <c:y val="-4.7961423792591107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5.6238089966433265E-2"/>
                  <c:h val="3.4202541205868249E-2"/>
                </c:manualLayout>
              </c15:layout>
            </c:ext>
          </c:extLst>
        </c:dLbl>
      </c:pivotFmt>
      <c:pivotFmt>
        <c:idx val="53"/>
        <c:spPr>
          <a:gradFill>
            <a:gsLst>
              <a:gs pos="91000">
                <a:srgbClr val="7030A0"/>
              </a:gs>
              <a:gs pos="0">
                <a:srgbClr val="FEE6FC"/>
              </a:gs>
            </a:gsLst>
            <a:lin ang="5400000" scaled="1"/>
          </a:gradFill>
          <a:ln>
            <a:noFill/>
          </a:ln>
          <a:effectLst/>
        </c:spPr>
        <c:marker>
          <c:symbol val="none"/>
        </c:marker>
        <c:dLbl>
          <c:idx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
        <c:spPr>
          <a:gradFill>
            <a:gsLst>
              <a:gs pos="100000">
                <a:srgbClr val="F86EB0"/>
              </a:gs>
              <a:gs pos="12000">
                <a:srgbClr val="FEE6FC"/>
              </a:gs>
            </a:gsLst>
            <a:path path="shape">
              <a:fillToRect l="50000" t="50000" r="50000" b="50000"/>
            </a:path>
          </a:gradFill>
          <a:ln>
            <a:noFill/>
          </a:ln>
          <a:effectLst/>
        </c:spPr>
        <c:marker>
          <c:symbol val="none"/>
        </c:marker>
        <c:dLbl>
          <c:idx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
        <c:spPr>
          <a:gradFill flip="none" rotWithShape="1">
            <a:gsLst>
              <a:gs pos="100000">
                <a:srgbClr val="7030A0"/>
              </a:gs>
              <a:gs pos="0">
                <a:srgbClr val="F86EB0"/>
              </a:gs>
            </a:gsLst>
            <a:path path="shap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6"/>
        <c:spPr>
          <a:gradFill>
            <a:gsLst>
              <a:gs pos="89000">
                <a:srgbClr val="FEE6FC"/>
              </a:gs>
              <a:gs pos="0">
                <a:srgbClr val="F86EB0"/>
              </a:gs>
            </a:gsLst>
            <a:path path="shape">
              <a:fillToRect l="50000" t="50000" r="50000" b="50000"/>
            </a:path>
          </a:gradFill>
          <a:ln>
            <a:noFill/>
          </a:ln>
          <a:effectLst/>
        </c:spPr>
        <c:marker>
          <c:symbol val="none"/>
        </c:marker>
        <c:dLbl>
          <c:idx val="0"/>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
        <c:spPr>
          <a:gradFill>
            <a:gsLst>
              <a:gs pos="89000">
                <a:srgbClr val="FEE6FC"/>
              </a:gs>
              <a:gs pos="0">
                <a:srgbClr val="F86EB0"/>
              </a:gs>
            </a:gsLst>
            <a:path path="shape">
              <a:fillToRect l="50000" t="50000" r="50000" b="50000"/>
            </a:path>
          </a:gradFill>
          <a:ln>
            <a:noFill/>
          </a:ln>
          <a:effectLst/>
        </c:spPr>
        <c:dLbl>
          <c:idx val="0"/>
          <c:layout>
            <c:manualLayout>
              <c:x val="1.7857609874614747E-3"/>
              <c:y val="-4.7472514817859579E-2"/>
            </c:manualLayout>
          </c:layout>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7.1571421862446388E-2"/>
                  <c:h val="3.4202541205868249E-2"/>
                </c:manualLayout>
              </c15:layout>
            </c:ext>
          </c:extLst>
        </c:dLbl>
      </c:pivotFmt>
      <c:pivotFmt>
        <c:idx val="58"/>
        <c:spPr>
          <a:gradFill>
            <a:gsLst>
              <a:gs pos="45000">
                <a:srgbClr val="F86EB0"/>
              </a:gs>
              <a:gs pos="83000">
                <a:srgbClr val="FEE6FC"/>
              </a:gs>
            </a:gsLst>
            <a:path path="circle">
              <a:fillToRect l="100000" t="100000"/>
            </a:path>
          </a:gradFill>
          <a:ln>
            <a:noFill/>
          </a:ln>
          <a:effectLst/>
        </c:spPr>
        <c:marker>
          <c:symbol val="none"/>
        </c:marker>
        <c:dLbl>
          <c:idx val="0"/>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
        <c:spPr>
          <a:gradFill>
            <a:gsLst>
              <a:gs pos="45000">
                <a:srgbClr val="F86EB0"/>
              </a:gs>
              <a:gs pos="83000">
                <a:srgbClr val="FEE6FC"/>
              </a:gs>
            </a:gsLst>
            <a:path path="circle">
              <a:fillToRect l="100000" t="100000"/>
            </a:path>
          </a:gradFill>
          <a:ln>
            <a:noFill/>
          </a:ln>
          <a:effectLst/>
        </c:spPr>
        <c:dLbl>
          <c:idx val="0"/>
          <c:layout>
            <c:manualLayout>
              <c:x val="4.3246248803412954E-4"/>
              <c:y val="-4.2389605920757523E-2"/>
            </c:manualLayout>
          </c:layout>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6.9333326834146336E-2"/>
                  <c:h val="3.4202541205868249E-2"/>
                </c:manualLayout>
              </c15:layout>
            </c:ext>
          </c:extLst>
        </c:dLbl>
      </c:pivotFmt>
      <c:pivotFmt>
        <c:idx val="60"/>
        <c:spPr>
          <a:gradFill flip="none" rotWithShape="1">
            <a:gsLst>
              <a:gs pos="0">
                <a:srgbClr val="7030A0"/>
              </a:gs>
              <a:gs pos="90000">
                <a:srgbClr val="F86EB0"/>
              </a:gs>
            </a:gsLst>
            <a:lin ang="2700000" scaled="1"/>
            <a:tileRect/>
          </a:gradFill>
          <a:ln>
            <a:noFill/>
          </a:ln>
          <a:effectLst/>
        </c:spPr>
        <c:marker>
          <c:symbol val="none"/>
        </c:marker>
        <c:dLbl>
          <c:idx val="0"/>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gradFill>
            <a:gsLst>
              <a:gs pos="39000">
                <a:srgbClr val="F86EB0"/>
              </a:gs>
              <a:gs pos="100000">
                <a:srgbClr val="FEE6FC"/>
              </a:gs>
            </a:gsLst>
            <a:path path="shape">
              <a:fillToRect l="50000" t="50000" r="50000" b="50000"/>
            </a:path>
          </a:gradFill>
          <a:ln>
            <a:noFill/>
          </a:ln>
          <a:effectLst/>
        </c:spPr>
        <c:marker>
          <c:symbol val="none"/>
        </c:marker>
        <c:dLbl>
          <c:idx val="0"/>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gradFill flip="none" rotWithShape="1">
            <a:gsLst>
              <a:gs pos="0">
                <a:srgbClr val="C240D8"/>
              </a:gs>
              <a:gs pos="100000">
                <a:srgbClr val="FEE6FC"/>
              </a:gs>
            </a:gsLst>
            <a:path path="shap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gradFill flip="none" rotWithShape="1">
            <a:gsLst>
              <a:gs pos="0">
                <a:srgbClr val="C240D8"/>
              </a:gs>
              <a:gs pos="100000">
                <a:srgbClr val="FEE6FC"/>
              </a:gs>
            </a:gsLst>
            <a:path path="shape">
              <a:fillToRect l="50000" t="50000" r="50000" b="50000"/>
            </a:path>
            <a:tileRect/>
          </a:gradFill>
          <a:ln>
            <a:noFill/>
          </a:ln>
          <a:effectLst/>
        </c:spPr>
        <c:dLbl>
          <c:idx val="0"/>
          <c:layout>
            <c:manualLayout>
              <c:x val="1.7856672491875032E-3"/>
              <c:y val="4.4835254518246007E-2"/>
            </c:manualLayout>
          </c:layout>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6.9190469704680374E-2"/>
                  <c:h val="3.4202541205868249E-2"/>
                </c:manualLayout>
              </c15:layout>
            </c:ext>
          </c:extLst>
        </c:dLbl>
      </c:pivotFmt>
      <c:pivotFmt>
        <c:idx val="64"/>
        <c:spPr>
          <a:gradFill flip="none" rotWithShape="1">
            <a:gsLst>
              <a:gs pos="100000">
                <a:srgbClr val="7030A0"/>
              </a:gs>
              <a:gs pos="56000">
                <a:srgbClr val="F86EB0"/>
              </a:gs>
            </a:gsLst>
            <a:path path="shap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
        <c:spPr>
          <a:gradFill>
            <a:gsLst>
              <a:gs pos="100000">
                <a:srgbClr val="7030A0"/>
              </a:gs>
              <a:gs pos="70000">
                <a:srgbClr val="FEE6FC"/>
              </a:gs>
            </a:gsLst>
            <a:path path="shape">
              <a:fillToRect l="50000" t="50000" r="50000" b="50000"/>
            </a:path>
          </a:gradFill>
          <a:ln>
            <a:noFill/>
          </a:ln>
          <a:effectLst/>
        </c:spPr>
        <c:marker>
          <c:symbol val="none"/>
        </c:marker>
        <c:dLbl>
          <c:idx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
        <c:spPr>
          <a:gradFill flip="none" rotWithShape="1">
            <a:gsLst>
              <a:gs pos="100000">
                <a:srgbClr val="7030A0"/>
              </a:gs>
              <a:gs pos="0">
                <a:schemeClr val="bg1"/>
              </a:gs>
            </a:gsLst>
            <a:path path="rect">
              <a:fillToRect l="100000" t="100000"/>
            </a:path>
            <a:tileRect r="-100000" b="-100000"/>
          </a:gradFill>
          <a:ln>
            <a:noFill/>
          </a:ln>
          <a:effectLst/>
        </c:spPr>
        <c:marker>
          <c:symbol val="none"/>
        </c:marker>
        <c:dLbl>
          <c:idx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spPr>
          <a:gradFill flip="none" rotWithShape="1">
            <a:gsLst>
              <a:gs pos="90000">
                <a:schemeClr val="bg1"/>
              </a:gs>
              <a:gs pos="0">
                <a:srgbClr val="F86EB0"/>
              </a:gs>
            </a:gsLst>
            <a:lin ang="2700000" scaled="1"/>
            <a:tileRect/>
          </a:gradFill>
          <a:ln>
            <a:noFill/>
          </a:ln>
          <a:effectLst/>
        </c:spPr>
        <c:marker>
          <c:symbol val="none"/>
        </c:marker>
        <c:dLbl>
          <c:idx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spPr>
          <a:gradFill flip="none" rotWithShape="1">
            <a:gsLst>
              <a:gs pos="89000">
                <a:srgbClr val="7030A0"/>
              </a:gs>
              <a:gs pos="0">
                <a:srgbClr val="F86EB0"/>
              </a:gs>
            </a:gsLst>
            <a:path path="shap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
        <c:spPr>
          <a:gradFill flip="none" rotWithShape="1">
            <a:gsLst>
              <a:gs pos="100000">
                <a:srgbClr val="7030A0"/>
              </a:gs>
              <a:gs pos="0">
                <a:srgbClr val="FEE6FC"/>
              </a:gs>
            </a:gsLst>
            <a:path path="shap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spPr>
          <a:gradFill flip="none" rotWithShape="1">
            <a:gsLst>
              <a:gs pos="100000">
                <a:srgbClr val="7030A0"/>
              </a:gs>
              <a:gs pos="0">
                <a:srgbClr val="FEE6FC"/>
              </a:gs>
            </a:gsLst>
            <a:path path="shape">
              <a:fillToRect l="50000" t="50000" r="50000" b="50000"/>
            </a:path>
            <a:tileRect/>
          </a:gradFill>
          <a:ln>
            <a:noFill/>
          </a:ln>
          <a:effectLst/>
        </c:spPr>
        <c:dLbl>
          <c:idx val="0"/>
          <c:layout>
            <c:manualLayout>
              <c:x val="4.8300708803393678E-4"/>
              <c:y val="-4.5757966033619382E-2"/>
            </c:manualLayout>
          </c:layout>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4.0688517095978829E-2"/>
                  <c:h val="2.7654556215648867E-2"/>
                </c:manualLayout>
              </c15:layout>
            </c:ext>
          </c:extLst>
        </c:dLbl>
      </c:pivotFmt>
      <c:pivotFmt>
        <c:idx val="71"/>
        <c:spPr>
          <a:gradFill flip="none" rotWithShape="1">
            <a:gsLst>
              <a:gs pos="38000">
                <a:srgbClr val="F86EB0"/>
              </a:gs>
              <a:gs pos="100000">
                <a:srgbClr val="FEE6FC"/>
              </a:gs>
            </a:gsLst>
            <a:path path="shape">
              <a:fillToRect l="50000" t="50000" r="50000" b="5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
        <c:spPr>
          <a:gradFill flip="none" rotWithShape="1">
            <a:gsLst>
              <a:gs pos="89000">
                <a:srgbClr val="7030A0"/>
              </a:gs>
              <a:gs pos="0">
                <a:srgbClr val="F86EB0"/>
              </a:gs>
            </a:gsLst>
            <a:path path="shape">
              <a:fillToRect l="50000" t="50000" r="50000" b="50000"/>
            </a:path>
            <a:tileRect/>
          </a:gradFill>
          <a:ln>
            <a:noFill/>
          </a:ln>
          <a:effectLst/>
        </c:spPr>
        <c:dLbl>
          <c:idx val="0"/>
          <c:layout>
            <c:manualLayout>
              <c:x val="2.5005003786494947E-3"/>
              <c:y val="-5.044586999265159E-2"/>
            </c:manualLayout>
          </c:layout>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4.9710437784923345E-2"/>
                  <c:h val="3.4202541205868249E-2"/>
                </c:manualLayout>
              </c15:layout>
            </c:ext>
          </c:extLst>
        </c:dLbl>
      </c:pivotFmt>
      <c:pivotFmt>
        <c:idx val="73"/>
        <c:spPr>
          <a:gradFill>
            <a:gsLst>
              <a:gs pos="91000">
                <a:srgbClr val="7030A0"/>
              </a:gs>
              <a:gs pos="0">
                <a:srgbClr val="FEE6FC"/>
              </a:gs>
            </a:gsLst>
            <a:lin ang="5400000" scaled="1"/>
          </a:gradFill>
          <a:ln>
            <a:noFill/>
          </a:ln>
          <a:effectLst/>
        </c:spPr>
        <c:dLbl>
          <c:idx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6.9857136308854859E-2"/>
                  <c:h val="3.4202541205868249E-2"/>
                </c:manualLayout>
              </c15:layout>
            </c:ext>
          </c:extLst>
        </c:dLbl>
      </c:pivotFmt>
      <c:pivotFmt>
        <c:idx val="74"/>
        <c:spPr>
          <a:gradFill flip="none" rotWithShape="1">
            <a:gsLst>
              <a:gs pos="100000">
                <a:srgbClr val="7030A0"/>
              </a:gs>
              <a:gs pos="56000">
                <a:srgbClr val="F86EB0"/>
              </a:gs>
            </a:gsLst>
            <a:path path="shape">
              <a:fillToRect l="50000" t="50000" r="50000" b="50000"/>
            </a:path>
            <a:tileRect/>
          </a:gradFill>
          <a:ln>
            <a:noFill/>
          </a:ln>
          <a:effectLst/>
        </c:spPr>
        <c:dLbl>
          <c:idx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9.3666657886515015E-2"/>
                  <c:h val="3.4202541205868249E-2"/>
                </c:manualLayout>
              </c15:layout>
            </c:ext>
          </c:extLst>
        </c:dLbl>
      </c:pivotFmt>
      <c:pivotFmt>
        <c:idx val="75"/>
        <c:spPr>
          <a:gradFill>
            <a:gsLst>
              <a:gs pos="39000">
                <a:srgbClr val="F86EB0"/>
              </a:gs>
              <a:gs pos="100000">
                <a:srgbClr val="FEE6FC"/>
              </a:gs>
            </a:gsLst>
            <a:path path="shape">
              <a:fillToRect l="50000" t="50000" r="50000" b="50000"/>
            </a:path>
          </a:gradFill>
          <a:ln>
            <a:noFill/>
          </a:ln>
          <a:effectLst/>
        </c:spPr>
        <c:dLbl>
          <c:idx val="0"/>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7.6999992782152915E-2"/>
                  <c:h val="3.4202541205868249E-2"/>
                </c:manualLayout>
              </c15:layout>
            </c:ext>
          </c:extLst>
        </c:dLbl>
      </c:pivotFmt>
      <c:pivotFmt>
        <c:idx val="76"/>
        <c:spPr>
          <a:gradFill>
            <a:gsLst>
              <a:gs pos="100000">
                <a:srgbClr val="7030A0"/>
              </a:gs>
              <a:gs pos="70000">
                <a:srgbClr val="FEE6FC"/>
              </a:gs>
            </a:gsLst>
            <a:path path="shape">
              <a:fillToRect l="50000" t="50000" r="50000" b="50000"/>
            </a:path>
          </a:gradFill>
          <a:ln>
            <a:noFill/>
          </a:ln>
          <a:effectLst/>
        </c:spPr>
        <c:dLbl>
          <c:idx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0080951435981306"/>
                  <c:h val="3.4202541205868249E-2"/>
                </c:manualLayout>
              </c15:layout>
            </c:ext>
          </c:extLst>
        </c:dLbl>
      </c:pivotFmt>
      <c:pivotFmt>
        <c:idx val="77"/>
        <c:spPr>
          <a:gradFill>
            <a:gsLst>
              <a:gs pos="100000">
                <a:srgbClr val="F86EB0"/>
              </a:gs>
              <a:gs pos="12000">
                <a:srgbClr val="FEE6FC"/>
              </a:gs>
            </a:gsLst>
            <a:path path="shape">
              <a:fillToRect l="50000" t="50000" r="50000" b="50000"/>
            </a:path>
          </a:gradFill>
          <a:ln>
            <a:noFill/>
          </a:ln>
          <a:effectLst/>
        </c:spPr>
        <c:dLbl>
          <c:idx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0847618030781962"/>
                  <c:h val="3.4202541205868249E-2"/>
                </c:manualLayout>
              </c15:layout>
            </c:ext>
          </c:extLst>
        </c:dLbl>
      </c:pivotFmt>
      <c:pivotFmt>
        <c:idx val="78"/>
        <c:spPr>
          <a:gradFill flip="none" rotWithShape="1">
            <a:gsLst>
              <a:gs pos="100000">
                <a:srgbClr val="7030A0"/>
              </a:gs>
              <a:gs pos="0">
                <a:srgbClr val="F86EB0"/>
              </a:gs>
            </a:gsLst>
            <a:path path="shape">
              <a:fillToRect l="50000" t="50000" r="50000" b="50000"/>
            </a:path>
            <a:tileRect/>
          </a:gradFill>
          <a:ln>
            <a:noFill/>
          </a:ln>
          <a:effectLst/>
        </c:spPr>
        <c:dLbl>
          <c:idx val="0"/>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215714171755327"/>
                  <c:h val="3.4202541205868249E-2"/>
                </c:manualLayout>
              </c15:layout>
            </c:ext>
          </c:extLst>
        </c:dLbl>
      </c:pivotFmt>
      <c:pivotFmt>
        <c:idx val="79"/>
        <c:spPr>
          <a:gradFill>
            <a:gsLst>
              <a:gs pos="2000">
                <a:srgbClr val="FEE6FC"/>
              </a:gs>
              <a:gs pos="91000">
                <a:srgbClr val="F86EB0"/>
              </a:gs>
            </a:gsLst>
            <a:path path="shape">
              <a:fillToRect l="50000" t="50000" r="50000" b="50000"/>
            </a:path>
          </a:gradFill>
          <a:ln>
            <a:noFill/>
          </a:ln>
          <a:effectLst/>
        </c:spPr>
        <c:dLbl>
          <c:idx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8.8904753570982986E-2"/>
                  <c:h val="3.4202541205868249E-2"/>
                </c:manualLayout>
              </c15:layout>
            </c:ext>
          </c:extLst>
        </c:dLbl>
      </c:pivotFmt>
      <c:pivotFmt>
        <c:idx val="80"/>
        <c:spPr>
          <a:gradFill flip="none" rotWithShape="1">
            <a:gsLst>
              <a:gs pos="100000">
                <a:srgbClr val="7030A0"/>
              </a:gs>
              <a:gs pos="0">
                <a:schemeClr val="bg1"/>
              </a:gs>
            </a:gsLst>
            <a:path path="rect">
              <a:fillToRect l="100000" t="100000"/>
            </a:path>
            <a:tileRect r="-100000" b="-100000"/>
          </a:gradFill>
          <a:ln>
            <a:noFill/>
          </a:ln>
          <a:effectLst/>
        </c:spPr>
        <c:dLbl>
          <c:idx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0960713258275845"/>
                  <c:h val="3.7186236794200682E-2"/>
                </c:manualLayout>
              </c15:layout>
            </c:ext>
          </c:extLst>
        </c:dLbl>
      </c:pivotFmt>
      <c:pivotFmt>
        <c:idx val="81"/>
        <c:spPr>
          <a:gradFill flip="none" rotWithShape="1">
            <a:gsLst>
              <a:gs pos="0">
                <a:srgbClr val="7030A0"/>
              </a:gs>
              <a:gs pos="90000">
                <a:srgbClr val="F86EB0"/>
              </a:gs>
            </a:gsLst>
            <a:lin ang="2700000" scaled="1"/>
            <a:tileRect/>
          </a:gradFill>
          <a:ln>
            <a:noFill/>
          </a:ln>
          <a:effectLst/>
        </c:spPr>
        <c:dLbl>
          <c:idx val="0"/>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9.5380943440106544E-2"/>
                  <c:h val="3.4202541205868249E-2"/>
                </c:manualLayout>
              </c15:layout>
            </c:ext>
          </c:extLst>
        </c:dLbl>
      </c:pivotFmt>
      <c:pivotFmt>
        <c:idx val="82"/>
        <c:spPr>
          <a:gradFill flip="none" rotWithShape="1">
            <a:gsLst>
              <a:gs pos="38000">
                <a:srgbClr val="F86EB0"/>
              </a:gs>
              <a:gs pos="100000">
                <a:srgbClr val="FEE6FC"/>
              </a:gs>
            </a:gsLst>
            <a:path path="shape">
              <a:fillToRect l="50000" t="50000" r="50000" b="50000"/>
            </a:path>
            <a:tileRect/>
          </a:gradFill>
          <a:ln>
            <a:noFill/>
          </a:ln>
          <a:effectLst/>
        </c:spPr>
        <c:dLbl>
          <c:idx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5.4372069867926087E-2"/>
                  <c:h val="3.5857632002152959E-2"/>
                </c:manualLayout>
              </c15:layout>
            </c:ext>
          </c:extLst>
        </c:dLbl>
      </c:pivotFmt>
    </c:pivotFmts>
    <c:plotArea>
      <c:layout/>
      <c:barChart>
        <c:barDir val="bar"/>
        <c:grouping val="percentStacked"/>
        <c:varyColors val="0"/>
        <c:ser>
          <c:idx val="0"/>
          <c:order val="0"/>
          <c:tx>
            <c:strRef>
              <c:f>'Pivot Tables'!$BN$3:$BN$4</c:f>
              <c:strCache>
                <c:ptCount val="1"/>
                <c:pt idx="0">
                  <c:v>Annual Fuel &amp; Repair Costs</c:v>
                </c:pt>
              </c:strCache>
            </c:strRef>
          </c:tx>
          <c:spPr>
            <a:gradFill flip="none" rotWithShape="1">
              <a:gsLst>
                <a:gs pos="87000">
                  <a:srgbClr val="7030A0"/>
                </a:gs>
                <a:gs pos="0">
                  <a:srgbClr val="FEE6FC"/>
                </a:gs>
              </a:gsLst>
              <a:path path="shape">
                <a:fillToRect l="50000" t="50000" r="50000" b="50000"/>
              </a:path>
              <a:tileRect/>
            </a:gradFill>
            <a:ln>
              <a:noFill/>
            </a:ln>
            <a:effectLst/>
          </c:spPr>
          <c:invertIfNegative val="0"/>
          <c:dPt>
            <c:idx val="5"/>
            <c:invertIfNegative val="0"/>
            <c:bubble3D val="0"/>
            <c:spPr>
              <a:gradFill flip="none" rotWithShape="1">
                <a:gsLst>
                  <a:gs pos="87000">
                    <a:srgbClr val="7030A0"/>
                  </a:gs>
                  <a:gs pos="0">
                    <a:srgbClr val="FEE6FC"/>
                  </a:gs>
                </a:gsLst>
                <a:path path="shape">
                  <a:fillToRect l="50000" t="50000" r="50000" b="50000"/>
                </a:path>
                <a:tileRect/>
              </a:gradFill>
              <a:ln>
                <a:noFill/>
              </a:ln>
              <a:effectLst/>
            </c:spPr>
            <c:extLst>
              <c:ext xmlns:c16="http://schemas.microsoft.com/office/drawing/2014/chart" uri="{C3380CC4-5D6E-409C-BE32-E72D297353CC}">
                <c16:uniqueId val="{00000000-E11A-4EE4-A4CE-39858FD593A8}"/>
              </c:ext>
            </c:extLst>
          </c:dPt>
          <c:dLbls>
            <c:dLbl>
              <c:idx val="5"/>
              <c:layout>
                <c:manualLayout>
                  <c:x val="5.7874010323020065E-4"/>
                  <c:y val="5.010996768850632E-2"/>
                </c:manualLayout>
              </c:layout>
              <c:dLblPos val="ctr"/>
              <c:showLegendKey val="0"/>
              <c:showVal val="1"/>
              <c:showCatName val="0"/>
              <c:showSerName val="0"/>
              <c:showPercent val="0"/>
              <c:showBubbleSize val="0"/>
              <c:extLst>
                <c:ext xmlns:c15="http://schemas.microsoft.com/office/drawing/2012/chart" uri="{CE6537A1-D6FC-4f65-9D91-7224C49458BB}">
                  <c15:layout>
                    <c:manualLayout>
                      <c:w val="0.10252379991340459"/>
                      <c:h val="3.4202541205868249E-2"/>
                    </c:manualLayout>
                  </c15:layout>
                </c:ext>
                <c:ext xmlns:c16="http://schemas.microsoft.com/office/drawing/2014/chart" uri="{C3380CC4-5D6E-409C-BE32-E72D297353CC}">
                  <c16:uniqueId val="{00000000-E11A-4EE4-A4CE-39858FD593A8}"/>
                </c:ext>
              </c:extLst>
            </c:dLbl>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Tables'!$BM$5:$BM$11</c:f>
              <c:strCache>
                <c:ptCount val="6"/>
                <c:pt idx="0">
                  <c:v>Feed</c:v>
                </c:pt>
                <c:pt idx="1">
                  <c:v>Feeder Cattle</c:v>
                </c:pt>
                <c:pt idx="2">
                  <c:v>Fixed</c:v>
                </c:pt>
                <c:pt idx="3">
                  <c:v>Interest</c:v>
                </c:pt>
                <c:pt idx="4">
                  <c:v>Labour</c:v>
                </c:pt>
                <c:pt idx="5">
                  <c:v>Other Operations</c:v>
                </c:pt>
              </c:strCache>
            </c:strRef>
          </c:cat>
          <c:val>
            <c:numRef>
              <c:f>'Pivot Tables'!$BN$5:$BN$11</c:f>
              <c:numCache>
                <c:formatCode>"$"#,##0;\-"$"#,##0</c:formatCode>
                <c:ptCount val="6"/>
                <c:pt idx="5">
                  <c:v>3500.0000000000005</c:v>
                </c:pt>
              </c:numCache>
            </c:numRef>
          </c:val>
          <c:extLst>
            <c:ext xmlns:c16="http://schemas.microsoft.com/office/drawing/2014/chart" uri="{C3380CC4-5D6E-409C-BE32-E72D297353CC}">
              <c16:uniqueId val="{00000001-E11A-4EE4-A4CE-39858FD593A8}"/>
            </c:ext>
          </c:extLst>
        </c:ser>
        <c:ser>
          <c:idx val="1"/>
          <c:order val="1"/>
          <c:tx>
            <c:strRef>
              <c:f>'Pivot Tables'!$BO$3:$BO$4</c:f>
              <c:strCache>
                <c:ptCount val="1"/>
                <c:pt idx="0">
                  <c:v>Barley Silage</c:v>
                </c:pt>
              </c:strCache>
            </c:strRef>
          </c:tx>
          <c:spPr>
            <a:gradFill>
              <a:gsLst>
                <a:gs pos="2000">
                  <a:srgbClr val="FEE6FC"/>
                </a:gs>
                <a:gs pos="91000">
                  <a:srgbClr val="F86EB0"/>
                </a:gs>
              </a:gsLst>
              <a:path path="shape">
                <a:fillToRect l="50000" t="50000" r="50000" b="50000"/>
              </a:path>
            </a:gradFill>
            <a:ln>
              <a:noFill/>
            </a:ln>
            <a:effectLst/>
          </c:spPr>
          <c:invertIfNegative val="0"/>
          <c:dPt>
            <c:idx val="0"/>
            <c:invertIfNegative val="0"/>
            <c:bubble3D val="0"/>
            <c:spPr>
              <a:gradFill>
                <a:gsLst>
                  <a:gs pos="2000">
                    <a:srgbClr val="FEE6FC"/>
                  </a:gs>
                  <a:gs pos="91000">
                    <a:srgbClr val="F86EB0"/>
                  </a:gs>
                </a:gsLst>
                <a:path path="shape">
                  <a:fillToRect l="50000" t="50000" r="50000" b="50000"/>
                </a:path>
              </a:gradFill>
              <a:ln>
                <a:noFill/>
              </a:ln>
              <a:effectLst/>
            </c:spPr>
            <c:extLst>
              <c:ext xmlns:c16="http://schemas.microsoft.com/office/drawing/2014/chart" uri="{C3380CC4-5D6E-409C-BE32-E72D297353CC}">
                <c16:uniqueId val="{0000000D-AC08-4F7D-9038-4B80BF6A52BA}"/>
              </c:ext>
            </c:extLst>
          </c:dPt>
          <c:dLbls>
            <c:dLbl>
              <c:idx val="0"/>
              <c:showLegendKey val="0"/>
              <c:showVal val="1"/>
              <c:showCatName val="0"/>
              <c:showSerName val="0"/>
              <c:showPercent val="0"/>
              <c:showBubbleSize val="0"/>
              <c:extLst>
                <c:ext xmlns:c15="http://schemas.microsoft.com/office/drawing/2012/chart" uri="{CE6537A1-D6FC-4f65-9D91-7224C49458BB}">
                  <c15:layout>
                    <c:manualLayout>
                      <c:w val="8.8904753570982986E-2"/>
                      <c:h val="3.4202541205868249E-2"/>
                    </c:manualLayout>
                  </c15:layout>
                </c:ext>
                <c:ext xmlns:c16="http://schemas.microsoft.com/office/drawing/2014/chart" uri="{C3380CC4-5D6E-409C-BE32-E72D297353CC}">
                  <c16:uniqueId val="{0000000D-AC08-4F7D-9038-4B80BF6A52BA}"/>
                </c:ext>
              </c:extLst>
            </c:dLbl>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Tables'!$BM$5:$BM$11</c:f>
              <c:strCache>
                <c:ptCount val="6"/>
                <c:pt idx="0">
                  <c:v>Feed</c:v>
                </c:pt>
                <c:pt idx="1">
                  <c:v>Feeder Cattle</c:v>
                </c:pt>
                <c:pt idx="2">
                  <c:v>Fixed</c:v>
                </c:pt>
                <c:pt idx="3">
                  <c:v>Interest</c:v>
                </c:pt>
                <c:pt idx="4">
                  <c:v>Labour</c:v>
                </c:pt>
                <c:pt idx="5">
                  <c:v>Other Operations</c:v>
                </c:pt>
              </c:strCache>
            </c:strRef>
          </c:cat>
          <c:val>
            <c:numRef>
              <c:f>'Pivot Tables'!$BO$5:$BO$11</c:f>
              <c:numCache>
                <c:formatCode>"$"#,##0;\-"$"#,##0</c:formatCode>
                <c:ptCount val="6"/>
                <c:pt idx="0">
                  <c:v>36000.000000000007</c:v>
                </c:pt>
              </c:numCache>
            </c:numRef>
          </c:val>
          <c:extLst>
            <c:ext xmlns:c16="http://schemas.microsoft.com/office/drawing/2014/chart" uri="{C3380CC4-5D6E-409C-BE32-E72D297353CC}">
              <c16:uniqueId val="{00000002-E11A-4EE4-A4CE-39858FD593A8}"/>
            </c:ext>
          </c:extLst>
        </c:ser>
        <c:ser>
          <c:idx val="2"/>
          <c:order val="2"/>
          <c:tx>
            <c:strRef>
              <c:f>'Pivot Tables'!$BP$3:$BP$4</c:f>
              <c:strCache>
                <c:ptCount val="1"/>
                <c:pt idx="0">
                  <c:v>Barn &amp; Office Supplies</c:v>
                </c:pt>
              </c:strCache>
            </c:strRef>
          </c:tx>
          <c:spPr>
            <a:gradFill flip="none" rotWithShape="1">
              <a:gsLst>
                <a:gs pos="93000">
                  <a:srgbClr val="F86EB0"/>
                </a:gs>
                <a:gs pos="0">
                  <a:srgbClr val="FEE6FC"/>
                </a:gs>
              </a:gsLst>
              <a:path path="shape">
                <a:fillToRect l="50000" t="50000" r="50000" b="50000"/>
              </a:path>
              <a:tileRect/>
            </a:gradFill>
            <a:ln>
              <a:noFill/>
            </a:ln>
            <a:effectLst/>
          </c:spPr>
          <c:invertIfNegative val="0"/>
          <c:dPt>
            <c:idx val="5"/>
            <c:invertIfNegative val="0"/>
            <c:bubble3D val="0"/>
            <c:spPr>
              <a:gradFill flip="none" rotWithShape="1">
                <a:gsLst>
                  <a:gs pos="93000">
                    <a:srgbClr val="F86EB0"/>
                  </a:gs>
                  <a:gs pos="0">
                    <a:srgbClr val="FEE6FC"/>
                  </a:gs>
                </a:gsLst>
                <a:path path="shape">
                  <a:fillToRect l="50000" t="50000" r="50000" b="50000"/>
                </a:path>
                <a:tileRect/>
              </a:gradFill>
              <a:ln>
                <a:noFill/>
              </a:ln>
              <a:effectLst/>
            </c:spPr>
            <c:extLst>
              <c:ext xmlns:c16="http://schemas.microsoft.com/office/drawing/2014/chart" uri="{C3380CC4-5D6E-409C-BE32-E72D297353CC}">
                <c16:uniqueId val="{00000003-E11A-4EE4-A4CE-39858FD593A8}"/>
              </c:ext>
            </c:extLst>
          </c:dPt>
          <c:dLbls>
            <c:dLbl>
              <c:idx val="5"/>
              <c:layout>
                <c:manualLayout>
                  <c:x val="1.5561696704475651E-3"/>
                  <c:y val="-4.7961423792591107E-2"/>
                </c:manualLayout>
              </c:layout>
              <c:showLegendKey val="0"/>
              <c:showVal val="1"/>
              <c:showCatName val="0"/>
              <c:showSerName val="0"/>
              <c:showPercent val="0"/>
              <c:showBubbleSize val="0"/>
              <c:extLst>
                <c:ext xmlns:c15="http://schemas.microsoft.com/office/drawing/2012/chart" uri="{CE6537A1-D6FC-4f65-9D91-7224C49458BB}">
                  <c15:layout>
                    <c:manualLayout>
                      <c:w val="5.6238089966433265E-2"/>
                      <c:h val="3.4202541205868249E-2"/>
                    </c:manualLayout>
                  </c15:layout>
                </c:ext>
                <c:ext xmlns:c16="http://schemas.microsoft.com/office/drawing/2014/chart" uri="{C3380CC4-5D6E-409C-BE32-E72D297353CC}">
                  <c16:uniqueId val="{00000003-E11A-4EE4-A4CE-39858FD593A8}"/>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Tables'!$BM$5:$BM$11</c:f>
              <c:strCache>
                <c:ptCount val="6"/>
                <c:pt idx="0">
                  <c:v>Feed</c:v>
                </c:pt>
                <c:pt idx="1">
                  <c:v>Feeder Cattle</c:v>
                </c:pt>
                <c:pt idx="2">
                  <c:v>Fixed</c:v>
                </c:pt>
                <c:pt idx="3">
                  <c:v>Interest</c:v>
                </c:pt>
                <c:pt idx="4">
                  <c:v>Labour</c:v>
                </c:pt>
                <c:pt idx="5">
                  <c:v>Other Operations</c:v>
                </c:pt>
              </c:strCache>
            </c:strRef>
          </c:cat>
          <c:val>
            <c:numRef>
              <c:f>'Pivot Tables'!$BP$5:$BP$11</c:f>
              <c:numCache>
                <c:formatCode>"$"#,##0;\-"$"#,##0</c:formatCode>
                <c:ptCount val="6"/>
                <c:pt idx="5">
                  <c:v>600</c:v>
                </c:pt>
              </c:numCache>
            </c:numRef>
          </c:val>
          <c:extLst>
            <c:ext xmlns:c16="http://schemas.microsoft.com/office/drawing/2014/chart" uri="{C3380CC4-5D6E-409C-BE32-E72D297353CC}">
              <c16:uniqueId val="{00000004-E11A-4EE4-A4CE-39858FD593A8}"/>
            </c:ext>
          </c:extLst>
        </c:ser>
        <c:ser>
          <c:idx val="3"/>
          <c:order val="3"/>
          <c:tx>
            <c:strRef>
              <c:f>'Pivot Tables'!$BQ$3:$BQ$4</c:f>
              <c:strCache>
                <c:ptCount val="1"/>
                <c:pt idx="0">
                  <c:v>Death Loss</c:v>
                </c:pt>
              </c:strCache>
            </c:strRef>
          </c:tx>
          <c:spPr>
            <a:gradFill>
              <a:gsLst>
                <a:gs pos="91000">
                  <a:srgbClr val="7030A0"/>
                </a:gs>
                <a:gs pos="0">
                  <a:srgbClr val="FEE6FC"/>
                </a:gs>
              </a:gsLst>
              <a:lin ang="5400000" scaled="1"/>
            </a:gradFill>
            <a:ln>
              <a:noFill/>
            </a:ln>
            <a:effectLst/>
          </c:spPr>
          <c:invertIfNegative val="0"/>
          <c:dPt>
            <c:idx val="5"/>
            <c:invertIfNegative val="0"/>
            <c:bubble3D val="0"/>
            <c:spPr>
              <a:gradFill>
                <a:gsLst>
                  <a:gs pos="91000">
                    <a:srgbClr val="7030A0"/>
                  </a:gs>
                  <a:gs pos="0">
                    <a:srgbClr val="FEE6FC"/>
                  </a:gs>
                </a:gsLst>
                <a:lin ang="5400000" scaled="1"/>
              </a:gradFill>
              <a:ln>
                <a:noFill/>
              </a:ln>
              <a:effectLst/>
            </c:spPr>
            <c:extLst>
              <c:ext xmlns:c16="http://schemas.microsoft.com/office/drawing/2014/chart" uri="{C3380CC4-5D6E-409C-BE32-E72D297353CC}">
                <c16:uniqueId val="{00000007-AC08-4F7D-9038-4B80BF6A52BA}"/>
              </c:ext>
            </c:extLst>
          </c:dPt>
          <c:dLbls>
            <c:dLbl>
              <c:idx val="5"/>
              <c:showLegendKey val="0"/>
              <c:showVal val="1"/>
              <c:showCatName val="0"/>
              <c:showSerName val="0"/>
              <c:showPercent val="0"/>
              <c:showBubbleSize val="0"/>
              <c:extLst>
                <c:ext xmlns:c15="http://schemas.microsoft.com/office/drawing/2012/chart" uri="{CE6537A1-D6FC-4f65-9D91-7224C49458BB}">
                  <c15:layout>
                    <c:manualLayout>
                      <c:w val="6.9857136308854859E-2"/>
                      <c:h val="3.4202541205868249E-2"/>
                    </c:manualLayout>
                  </c15:layout>
                </c:ext>
                <c:ext xmlns:c16="http://schemas.microsoft.com/office/drawing/2014/chart" uri="{C3380CC4-5D6E-409C-BE32-E72D297353CC}">
                  <c16:uniqueId val="{00000007-AC08-4F7D-9038-4B80BF6A52BA}"/>
                </c:ext>
              </c:extLst>
            </c:dLbl>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Tables'!$BM$5:$BM$11</c:f>
              <c:strCache>
                <c:ptCount val="6"/>
                <c:pt idx="0">
                  <c:v>Feed</c:v>
                </c:pt>
                <c:pt idx="1">
                  <c:v>Feeder Cattle</c:v>
                </c:pt>
                <c:pt idx="2">
                  <c:v>Fixed</c:v>
                </c:pt>
                <c:pt idx="3">
                  <c:v>Interest</c:v>
                </c:pt>
                <c:pt idx="4">
                  <c:v>Labour</c:v>
                </c:pt>
                <c:pt idx="5">
                  <c:v>Other Operations</c:v>
                </c:pt>
              </c:strCache>
            </c:strRef>
          </c:cat>
          <c:val>
            <c:numRef>
              <c:f>'Pivot Tables'!$BQ$5:$BQ$11</c:f>
              <c:numCache>
                <c:formatCode>"$"#,##0;\-"$"#,##0</c:formatCode>
                <c:ptCount val="6"/>
                <c:pt idx="5">
                  <c:v>18848</c:v>
                </c:pt>
              </c:numCache>
            </c:numRef>
          </c:val>
          <c:extLst>
            <c:ext xmlns:c16="http://schemas.microsoft.com/office/drawing/2014/chart" uri="{C3380CC4-5D6E-409C-BE32-E72D297353CC}">
              <c16:uniqueId val="{00000005-E11A-4EE4-A4CE-39858FD593A8}"/>
            </c:ext>
          </c:extLst>
        </c:ser>
        <c:ser>
          <c:idx val="4"/>
          <c:order val="4"/>
          <c:tx>
            <c:strRef>
              <c:f>'Pivot Tables'!$BR$3:$BR$4</c:f>
              <c:strCache>
                <c:ptCount val="1"/>
                <c:pt idx="0">
                  <c:v>Depreciation</c:v>
                </c:pt>
              </c:strCache>
            </c:strRef>
          </c:tx>
          <c:spPr>
            <a:gradFill>
              <a:gsLst>
                <a:gs pos="100000">
                  <a:srgbClr val="F86EB0"/>
                </a:gs>
                <a:gs pos="12000">
                  <a:srgbClr val="FEE6FC"/>
                </a:gs>
              </a:gsLst>
              <a:path path="shape">
                <a:fillToRect l="50000" t="50000" r="50000" b="50000"/>
              </a:path>
            </a:gradFill>
            <a:ln>
              <a:noFill/>
            </a:ln>
            <a:effectLst/>
          </c:spPr>
          <c:invertIfNegative val="0"/>
          <c:dPt>
            <c:idx val="2"/>
            <c:invertIfNegative val="0"/>
            <c:bubble3D val="0"/>
            <c:spPr>
              <a:gradFill>
                <a:gsLst>
                  <a:gs pos="100000">
                    <a:srgbClr val="F86EB0"/>
                  </a:gs>
                  <a:gs pos="12000">
                    <a:srgbClr val="FEE6FC"/>
                  </a:gs>
                </a:gsLst>
                <a:path path="shape">
                  <a:fillToRect l="50000" t="50000" r="50000" b="50000"/>
                </a:path>
              </a:gradFill>
              <a:ln>
                <a:noFill/>
              </a:ln>
              <a:effectLst/>
            </c:spPr>
            <c:extLst>
              <c:ext xmlns:c16="http://schemas.microsoft.com/office/drawing/2014/chart" uri="{C3380CC4-5D6E-409C-BE32-E72D297353CC}">
                <c16:uniqueId val="{0000000B-AC08-4F7D-9038-4B80BF6A52BA}"/>
              </c:ext>
            </c:extLst>
          </c:dPt>
          <c:dLbls>
            <c:dLbl>
              <c:idx val="2"/>
              <c:showLegendKey val="0"/>
              <c:showVal val="1"/>
              <c:showCatName val="0"/>
              <c:showSerName val="0"/>
              <c:showPercent val="0"/>
              <c:showBubbleSize val="0"/>
              <c:extLst>
                <c:ext xmlns:c15="http://schemas.microsoft.com/office/drawing/2012/chart" uri="{CE6537A1-D6FC-4f65-9D91-7224C49458BB}">
                  <c15:layout>
                    <c:manualLayout>
                      <c:w val="0.10847618030781962"/>
                      <c:h val="3.4202541205868249E-2"/>
                    </c:manualLayout>
                  </c15:layout>
                </c:ext>
                <c:ext xmlns:c16="http://schemas.microsoft.com/office/drawing/2014/chart" uri="{C3380CC4-5D6E-409C-BE32-E72D297353CC}">
                  <c16:uniqueId val="{0000000B-AC08-4F7D-9038-4B80BF6A52BA}"/>
                </c:ext>
              </c:extLst>
            </c:dLbl>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Tables'!$BM$5:$BM$11</c:f>
              <c:strCache>
                <c:ptCount val="6"/>
                <c:pt idx="0">
                  <c:v>Feed</c:v>
                </c:pt>
                <c:pt idx="1">
                  <c:v>Feeder Cattle</c:v>
                </c:pt>
                <c:pt idx="2">
                  <c:v>Fixed</c:v>
                </c:pt>
                <c:pt idx="3">
                  <c:v>Interest</c:v>
                </c:pt>
                <c:pt idx="4">
                  <c:v>Labour</c:v>
                </c:pt>
                <c:pt idx="5">
                  <c:v>Other Operations</c:v>
                </c:pt>
              </c:strCache>
            </c:strRef>
          </c:cat>
          <c:val>
            <c:numRef>
              <c:f>'Pivot Tables'!$BR$5:$BR$11</c:f>
              <c:numCache>
                <c:formatCode>"$"#,##0;\-"$"#,##0</c:formatCode>
                <c:ptCount val="6"/>
                <c:pt idx="2">
                  <c:v>8192</c:v>
                </c:pt>
              </c:numCache>
            </c:numRef>
          </c:val>
          <c:extLst>
            <c:ext xmlns:c16="http://schemas.microsoft.com/office/drawing/2014/chart" uri="{C3380CC4-5D6E-409C-BE32-E72D297353CC}">
              <c16:uniqueId val="{00000006-E11A-4EE4-A4CE-39858FD593A8}"/>
            </c:ext>
          </c:extLst>
        </c:ser>
        <c:ser>
          <c:idx val="5"/>
          <c:order val="5"/>
          <c:tx>
            <c:strRef>
              <c:f>'Pivot Tables'!$BS$3:$BS$4</c:f>
              <c:strCache>
                <c:ptCount val="1"/>
                <c:pt idx="0">
                  <c:v>Feeder Cattle</c:v>
                </c:pt>
              </c:strCache>
            </c:strRef>
          </c:tx>
          <c:spPr>
            <a:gradFill flip="none" rotWithShape="1">
              <a:gsLst>
                <a:gs pos="100000">
                  <a:srgbClr val="7030A0"/>
                </a:gs>
                <a:gs pos="0">
                  <a:srgbClr val="F86EB0"/>
                </a:gs>
              </a:gsLst>
              <a:path path="shape">
                <a:fillToRect l="50000" t="50000" r="50000" b="50000"/>
              </a:path>
              <a:tileRect/>
            </a:gradFill>
            <a:ln>
              <a:noFill/>
            </a:ln>
            <a:effectLst/>
          </c:spPr>
          <c:invertIfNegative val="0"/>
          <c:dPt>
            <c:idx val="1"/>
            <c:invertIfNegative val="0"/>
            <c:bubble3D val="0"/>
            <c:spPr>
              <a:gradFill flip="none" rotWithShape="1">
                <a:gsLst>
                  <a:gs pos="100000">
                    <a:srgbClr val="7030A0"/>
                  </a:gs>
                  <a:gs pos="0">
                    <a:srgbClr val="F86EB0"/>
                  </a:gs>
                </a:gsLst>
                <a:path path="shape">
                  <a:fillToRect l="50000" t="50000" r="50000" b="50000"/>
                </a:path>
                <a:tileRect/>
              </a:gradFill>
              <a:ln>
                <a:noFill/>
              </a:ln>
              <a:effectLst/>
            </c:spPr>
            <c:extLst>
              <c:ext xmlns:c16="http://schemas.microsoft.com/office/drawing/2014/chart" uri="{C3380CC4-5D6E-409C-BE32-E72D297353CC}">
                <c16:uniqueId val="{0000000C-AC08-4F7D-9038-4B80BF6A52BA}"/>
              </c:ext>
            </c:extLst>
          </c:dPt>
          <c:dLbls>
            <c:dLbl>
              <c:idx val="1"/>
              <c:showLegendKey val="0"/>
              <c:showVal val="1"/>
              <c:showCatName val="0"/>
              <c:showSerName val="0"/>
              <c:showPercent val="0"/>
              <c:showBubbleSize val="0"/>
              <c:extLst>
                <c:ext xmlns:c15="http://schemas.microsoft.com/office/drawing/2012/chart" uri="{CE6537A1-D6FC-4f65-9D91-7224C49458BB}">
                  <c15:layout>
                    <c:manualLayout>
                      <c:w val="0.1215714171755327"/>
                      <c:h val="3.4202541205868249E-2"/>
                    </c:manualLayout>
                  </c15:layout>
                </c:ext>
                <c:ext xmlns:c16="http://schemas.microsoft.com/office/drawing/2014/chart" uri="{C3380CC4-5D6E-409C-BE32-E72D297353CC}">
                  <c16:uniqueId val="{0000000C-AC08-4F7D-9038-4B80BF6A52BA}"/>
                </c:ext>
              </c:extLst>
            </c:dLbl>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Tables'!$BM$5:$BM$11</c:f>
              <c:strCache>
                <c:ptCount val="6"/>
                <c:pt idx="0">
                  <c:v>Feed</c:v>
                </c:pt>
                <c:pt idx="1">
                  <c:v>Feeder Cattle</c:v>
                </c:pt>
                <c:pt idx="2">
                  <c:v>Fixed</c:v>
                </c:pt>
                <c:pt idx="3">
                  <c:v>Interest</c:v>
                </c:pt>
                <c:pt idx="4">
                  <c:v>Labour</c:v>
                </c:pt>
                <c:pt idx="5">
                  <c:v>Other Operations</c:v>
                </c:pt>
              </c:strCache>
            </c:strRef>
          </c:cat>
          <c:val>
            <c:numRef>
              <c:f>'Pivot Tables'!$BS$5:$BS$11</c:f>
              <c:numCache>
                <c:formatCode>"$"#,##0;\-"$"#,##0</c:formatCode>
                <c:ptCount val="6"/>
                <c:pt idx="1">
                  <c:v>1835200</c:v>
                </c:pt>
              </c:numCache>
            </c:numRef>
          </c:val>
          <c:extLst>
            <c:ext xmlns:c16="http://schemas.microsoft.com/office/drawing/2014/chart" uri="{C3380CC4-5D6E-409C-BE32-E72D297353CC}">
              <c16:uniqueId val="{00000007-E11A-4EE4-A4CE-39858FD593A8}"/>
            </c:ext>
          </c:extLst>
        </c:ser>
        <c:ser>
          <c:idx val="6"/>
          <c:order val="6"/>
          <c:tx>
            <c:strRef>
              <c:f>'Pivot Tables'!$BT$3:$BT$4</c:f>
              <c:strCache>
                <c:ptCount val="1"/>
                <c:pt idx="0">
                  <c:v>Grass Hay</c:v>
                </c:pt>
              </c:strCache>
            </c:strRef>
          </c:tx>
          <c:spPr>
            <a:gradFill>
              <a:gsLst>
                <a:gs pos="89000">
                  <a:srgbClr val="FEE6FC"/>
                </a:gs>
                <a:gs pos="0">
                  <a:srgbClr val="F86EB0"/>
                </a:gs>
              </a:gsLst>
              <a:path path="shape">
                <a:fillToRect l="50000" t="50000" r="50000" b="50000"/>
              </a:path>
            </a:gradFill>
            <a:ln>
              <a:noFill/>
            </a:ln>
            <a:effectLst/>
          </c:spPr>
          <c:invertIfNegative val="0"/>
          <c:dPt>
            <c:idx val="0"/>
            <c:invertIfNegative val="0"/>
            <c:bubble3D val="0"/>
            <c:spPr>
              <a:gradFill>
                <a:gsLst>
                  <a:gs pos="89000">
                    <a:srgbClr val="FEE6FC"/>
                  </a:gs>
                  <a:gs pos="0">
                    <a:srgbClr val="F86EB0"/>
                  </a:gs>
                </a:gsLst>
                <a:path path="shape">
                  <a:fillToRect l="50000" t="50000" r="50000" b="50000"/>
                </a:path>
              </a:gradFill>
              <a:ln>
                <a:noFill/>
              </a:ln>
              <a:effectLst/>
            </c:spPr>
            <c:extLst>
              <c:ext xmlns:c16="http://schemas.microsoft.com/office/drawing/2014/chart" uri="{C3380CC4-5D6E-409C-BE32-E72D297353CC}">
                <c16:uniqueId val="{00000008-E11A-4EE4-A4CE-39858FD593A8}"/>
              </c:ext>
            </c:extLst>
          </c:dPt>
          <c:dLbls>
            <c:dLbl>
              <c:idx val="0"/>
              <c:layout>
                <c:manualLayout>
                  <c:x val="1.7857609874614747E-3"/>
                  <c:y val="-4.7472514817859579E-2"/>
                </c:manualLayout>
              </c:layout>
              <c:showLegendKey val="0"/>
              <c:showVal val="1"/>
              <c:showCatName val="0"/>
              <c:showSerName val="0"/>
              <c:showPercent val="0"/>
              <c:showBubbleSize val="0"/>
              <c:extLst>
                <c:ext xmlns:c15="http://schemas.microsoft.com/office/drawing/2012/chart" uri="{CE6537A1-D6FC-4f65-9D91-7224C49458BB}">
                  <c15:layout>
                    <c:manualLayout>
                      <c:w val="7.1571421862446388E-2"/>
                      <c:h val="3.4202541205868249E-2"/>
                    </c:manualLayout>
                  </c15:layout>
                </c:ext>
                <c:ext xmlns:c16="http://schemas.microsoft.com/office/drawing/2014/chart" uri="{C3380CC4-5D6E-409C-BE32-E72D297353CC}">
                  <c16:uniqueId val="{00000008-E11A-4EE4-A4CE-39858FD593A8}"/>
                </c:ext>
              </c:extLst>
            </c:dLbl>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Tables'!$BM$5:$BM$11</c:f>
              <c:strCache>
                <c:ptCount val="6"/>
                <c:pt idx="0">
                  <c:v>Feed</c:v>
                </c:pt>
                <c:pt idx="1">
                  <c:v>Feeder Cattle</c:v>
                </c:pt>
                <c:pt idx="2">
                  <c:v>Fixed</c:v>
                </c:pt>
                <c:pt idx="3">
                  <c:v>Interest</c:v>
                </c:pt>
                <c:pt idx="4">
                  <c:v>Labour</c:v>
                </c:pt>
                <c:pt idx="5">
                  <c:v>Other Operations</c:v>
                </c:pt>
              </c:strCache>
            </c:strRef>
          </c:cat>
          <c:val>
            <c:numRef>
              <c:f>'Pivot Tables'!$BT$5:$BT$11</c:f>
              <c:numCache>
                <c:formatCode>"$"#,##0;\-"$"#,##0</c:formatCode>
                <c:ptCount val="6"/>
                <c:pt idx="0">
                  <c:v>0</c:v>
                </c:pt>
              </c:numCache>
            </c:numRef>
          </c:val>
          <c:extLst>
            <c:ext xmlns:c16="http://schemas.microsoft.com/office/drawing/2014/chart" uri="{C3380CC4-5D6E-409C-BE32-E72D297353CC}">
              <c16:uniqueId val="{00000009-E11A-4EE4-A4CE-39858FD593A8}"/>
            </c:ext>
          </c:extLst>
        </c:ser>
        <c:ser>
          <c:idx val="7"/>
          <c:order val="7"/>
          <c:tx>
            <c:strRef>
              <c:f>'Pivot Tables'!$BU$3:$BU$4</c:f>
              <c:strCache>
                <c:ptCount val="1"/>
                <c:pt idx="0">
                  <c:v>Insurance</c:v>
                </c:pt>
              </c:strCache>
            </c:strRef>
          </c:tx>
          <c:spPr>
            <a:gradFill>
              <a:gsLst>
                <a:gs pos="45000">
                  <a:srgbClr val="F86EB0"/>
                </a:gs>
                <a:gs pos="83000">
                  <a:srgbClr val="FEE6FC"/>
                </a:gs>
              </a:gsLst>
              <a:path path="circle">
                <a:fillToRect l="100000" t="100000"/>
              </a:path>
            </a:gradFill>
            <a:ln>
              <a:noFill/>
            </a:ln>
            <a:effectLst/>
          </c:spPr>
          <c:invertIfNegative val="0"/>
          <c:dPt>
            <c:idx val="5"/>
            <c:invertIfNegative val="0"/>
            <c:bubble3D val="0"/>
            <c:spPr>
              <a:gradFill>
                <a:gsLst>
                  <a:gs pos="45000">
                    <a:srgbClr val="F86EB0"/>
                  </a:gs>
                  <a:gs pos="83000">
                    <a:srgbClr val="FEE6FC"/>
                  </a:gs>
                </a:gsLst>
                <a:path path="circle">
                  <a:fillToRect l="100000" t="100000"/>
                </a:path>
              </a:gradFill>
              <a:ln>
                <a:noFill/>
              </a:ln>
              <a:effectLst/>
            </c:spPr>
            <c:extLst>
              <c:ext xmlns:c16="http://schemas.microsoft.com/office/drawing/2014/chart" uri="{C3380CC4-5D6E-409C-BE32-E72D297353CC}">
                <c16:uniqueId val="{0000000A-E11A-4EE4-A4CE-39858FD593A8}"/>
              </c:ext>
            </c:extLst>
          </c:dPt>
          <c:dLbls>
            <c:dLbl>
              <c:idx val="5"/>
              <c:layout>
                <c:manualLayout>
                  <c:x val="4.3246248803412954E-4"/>
                  <c:y val="-4.2389605920757523E-2"/>
                </c:manualLayout>
              </c:layout>
              <c:showLegendKey val="0"/>
              <c:showVal val="1"/>
              <c:showCatName val="0"/>
              <c:showSerName val="0"/>
              <c:showPercent val="0"/>
              <c:showBubbleSize val="0"/>
              <c:extLst>
                <c:ext xmlns:c15="http://schemas.microsoft.com/office/drawing/2012/chart" uri="{CE6537A1-D6FC-4f65-9D91-7224C49458BB}">
                  <c15:layout>
                    <c:manualLayout>
                      <c:w val="6.9333326834146336E-2"/>
                      <c:h val="3.4202541205868249E-2"/>
                    </c:manualLayout>
                  </c15:layout>
                </c:ext>
                <c:ext xmlns:c16="http://schemas.microsoft.com/office/drawing/2014/chart" uri="{C3380CC4-5D6E-409C-BE32-E72D297353CC}">
                  <c16:uniqueId val="{0000000A-E11A-4EE4-A4CE-39858FD593A8}"/>
                </c:ext>
              </c:extLst>
            </c:dLbl>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Tables'!$BM$5:$BM$11</c:f>
              <c:strCache>
                <c:ptCount val="6"/>
                <c:pt idx="0">
                  <c:v>Feed</c:v>
                </c:pt>
                <c:pt idx="1">
                  <c:v>Feeder Cattle</c:v>
                </c:pt>
                <c:pt idx="2">
                  <c:v>Fixed</c:v>
                </c:pt>
                <c:pt idx="3">
                  <c:v>Interest</c:v>
                </c:pt>
                <c:pt idx="4">
                  <c:v>Labour</c:v>
                </c:pt>
                <c:pt idx="5">
                  <c:v>Other Operations</c:v>
                </c:pt>
              </c:strCache>
            </c:strRef>
          </c:cat>
          <c:val>
            <c:numRef>
              <c:f>'Pivot Tables'!$BU$5:$BU$11</c:f>
              <c:numCache>
                <c:formatCode>"$"#,##0;\-"$"#,##0</c:formatCode>
                <c:ptCount val="6"/>
                <c:pt idx="5">
                  <c:v>559.00000000000011</c:v>
                </c:pt>
              </c:numCache>
            </c:numRef>
          </c:val>
          <c:extLst>
            <c:ext xmlns:c16="http://schemas.microsoft.com/office/drawing/2014/chart" uri="{C3380CC4-5D6E-409C-BE32-E72D297353CC}">
              <c16:uniqueId val="{0000000B-E11A-4EE4-A4CE-39858FD593A8}"/>
            </c:ext>
          </c:extLst>
        </c:ser>
        <c:ser>
          <c:idx val="8"/>
          <c:order val="8"/>
          <c:tx>
            <c:strRef>
              <c:f>'Pivot Tables'!$BV$3:$BV$4</c:f>
              <c:strCache>
                <c:ptCount val="1"/>
                <c:pt idx="0">
                  <c:v>Investment</c:v>
                </c:pt>
              </c:strCache>
            </c:strRef>
          </c:tx>
          <c:spPr>
            <a:gradFill flip="none" rotWithShape="1">
              <a:gsLst>
                <a:gs pos="0">
                  <a:srgbClr val="7030A0"/>
                </a:gs>
                <a:gs pos="90000">
                  <a:srgbClr val="F86EB0"/>
                </a:gs>
              </a:gsLst>
              <a:lin ang="2700000" scaled="1"/>
              <a:tileRect/>
            </a:gradFill>
            <a:ln>
              <a:noFill/>
            </a:ln>
            <a:effectLst/>
          </c:spPr>
          <c:invertIfNegative val="0"/>
          <c:dPt>
            <c:idx val="2"/>
            <c:invertIfNegative val="0"/>
            <c:bubble3D val="0"/>
            <c:spPr>
              <a:gradFill flip="none" rotWithShape="1">
                <a:gsLst>
                  <a:gs pos="0">
                    <a:srgbClr val="7030A0"/>
                  </a:gs>
                  <a:gs pos="90000">
                    <a:srgbClr val="F86EB0"/>
                  </a:gs>
                </a:gsLst>
                <a:lin ang="2700000" scaled="1"/>
                <a:tileRect/>
              </a:gradFill>
              <a:ln>
                <a:noFill/>
              </a:ln>
              <a:effectLst/>
            </c:spPr>
            <c:extLst>
              <c:ext xmlns:c16="http://schemas.microsoft.com/office/drawing/2014/chart" uri="{C3380CC4-5D6E-409C-BE32-E72D297353CC}">
                <c16:uniqueId val="{0000000F-AC08-4F7D-9038-4B80BF6A52BA}"/>
              </c:ext>
            </c:extLst>
          </c:dPt>
          <c:dLbls>
            <c:dLbl>
              <c:idx val="2"/>
              <c:showLegendKey val="0"/>
              <c:showVal val="1"/>
              <c:showCatName val="0"/>
              <c:showSerName val="0"/>
              <c:showPercent val="0"/>
              <c:showBubbleSize val="0"/>
              <c:extLst>
                <c:ext xmlns:c15="http://schemas.microsoft.com/office/drawing/2012/chart" uri="{CE6537A1-D6FC-4f65-9D91-7224C49458BB}">
                  <c15:layout>
                    <c:manualLayout>
                      <c:w val="9.5380943440106544E-2"/>
                      <c:h val="3.4202541205868249E-2"/>
                    </c:manualLayout>
                  </c15:layout>
                </c:ext>
                <c:ext xmlns:c16="http://schemas.microsoft.com/office/drawing/2014/chart" uri="{C3380CC4-5D6E-409C-BE32-E72D297353CC}">
                  <c16:uniqueId val="{0000000F-AC08-4F7D-9038-4B80BF6A52BA}"/>
                </c:ext>
              </c:extLst>
            </c:dLbl>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Tables'!$BM$5:$BM$11</c:f>
              <c:strCache>
                <c:ptCount val="6"/>
                <c:pt idx="0">
                  <c:v>Feed</c:v>
                </c:pt>
                <c:pt idx="1">
                  <c:v>Feeder Cattle</c:v>
                </c:pt>
                <c:pt idx="2">
                  <c:v>Fixed</c:v>
                </c:pt>
                <c:pt idx="3">
                  <c:v>Interest</c:v>
                </c:pt>
                <c:pt idx="4">
                  <c:v>Labour</c:v>
                </c:pt>
                <c:pt idx="5">
                  <c:v>Other Operations</c:v>
                </c:pt>
              </c:strCache>
            </c:strRef>
          </c:cat>
          <c:val>
            <c:numRef>
              <c:f>'Pivot Tables'!$BV$5:$BV$11</c:f>
              <c:numCache>
                <c:formatCode>"$"#,##0;\-"$"#,##0</c:formatCode>
                <c:ptCount val="6"/>
                <c:pt idx="2">
                  <c:v>1842.0000000000002</c:v>
                </c:pt>
              </c:numCache>
            </c:numRef>
          </c:val>
          <c:extLst>
            <c:ext xmlns:c16="http://schemas.microsoft.com/office/drawing/2014/chart" uri="{C3380CC4-5D6E-409C-BE32-E72D297353CC}">
              <c16:uniqueId val="{0000000C-E11A-4EE4-A4CE-39858FD593A8}"/>
            </c:ext>
          </c:extLst>
        </c:ser>
        <c:ser>
          <c:idx val="9"/>
          <c:order val="9"/>
          <c:tx>
            <c:strRef>
              <c:f>'Pivot Tables'!$BW$3:$BW$4</c:f>
              <c:strCache>
                <c:ptCount val="1"/>
                <c:pt idx="0">
                  <c:v>Labour</c:v>
                </c:pt>
              </c:strCache>
            </c:strRef>
          </c:tx>
          <c:spPr>
            <a:gradFill>
              <a:gsLst>
                <a:gs pos="39000">
                  <a:srgbClr val="F86EB0"/>
                </a:gs>
                <a:gs pos="100000">
                  <a:srgbClr val="FEE6FC"/>
                </a:gs>
              </a:gsLst>
              <a:path path="shape">
                <a:fillToRect l="50000" t="50000" r="50000" b="50000"/>
              </a:path>
            </a:gradFill>
            <a:ln>
              <a:noFill/>
            </a:ln>
            <a:effectLst/>
          </c:spPr>
          <c:invertIfNegative val="0"/>
          <c:dPt>
            <c:idx val="4"/>
            <c:invertIfNegative val="0"/>
            <c:bubble3D val="0"/>
            <c:spPr>
              <a:gradFill>
                <a:gsLst>
                  <a:gs pos="39000">
                    <a:srgbClr val="F86EB0"/>
                  </a:gs>
                  <a:gs pos="100000">
                    <a:srgbClr val="FEE6FC"/>
                  </a:gs>
                </a:gsLst>
                <a:path path="shape">
                  <a:fillToRect l="50000" t="50000" r="50000" b="50000"/>
                </a:path>
              </a:gradFill>
              <a:ln>
                <a:noFill/>
              </a:ln>
              <a:effectLst/>
            </c:spPr>
            <c:extLst>
              <c:ext xmlns:c16="http://schemas.microsoft.com/office/drawing/2014/chart" uri="{C3380CC4-5D6E-409C-BE32-E72D297353CC}">
                <c16:uniqueId val="{00000009-AC08-4F7D-9038-4B80BF6A52BA}"/>
              </c:ext>
            </c:extLst>
          </c:dPt>
          <c:dLbls>
            <c:dLbl>
              <c:idx val="4"/>
              <c:showLegendKey val="0"/>
              <c:showVal val="1"/>
              <c:showCatName val="0"/>
              <c:showSerName val="0"/>
              <c:showPercent val="0"/>
              <c:showBubbleSize val="0"/>
              <c:extLst>
                <c:ext xmlns:c15="http://schemas.microsoft.com/office/drawing/2012/chart" uri="{CE6537A1-D6FC-4f65-9D91-7224C49458BB}">
                  <c15:layout>
                    <c:manualLayout>
                      <c:w val="7.6999992782152915E-2"/>
                      <c:h val="3.4202541205868249E-2"/>
                    </c:manualLayout>
                  </c15:layout>
                </c:ext>
                <c:ext xmlns:c16="http://schemas.microsoft.com/office/drawing/2014/chart" uri="{C3380CC4-5D6E-409C-BE32-E72D297353CC}">
                  <c16:uniqueId val="{00000009-AC08-4F7D-9038-4B80BF6A52BA}"/>
                </c:ext>
              </c:extLst>
            </c:dLbl>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Tables'!$BM$5:$BM$11</c:f>
              <c:strCache>
                <c:ptCount val="6"/>
                <c:pt idx="0">
                  <c:v>Feed</c:v>
                </c:pt>
                <c:pt idx="1">
                  <c:v>Feeder Cattle</c:v>
                </c:pt>
                <c:pt idx="2">
                  <c:v>Fixed</c:v>
                </c:pt>
                <c:pt idx="3">
                  <c:v>Interest</c:v>
                </c:pt>
                <c:pt idx="4">
                  <c:v>Labour</c:v>
                </c:pt>
                <c:pt idx="5">
                  <c:v>Other Operations</c:v>
                </c:pt>
              </c:strCache>
            </c:strRef>
          </c:cat>
          <c:val>
            <c:numRef>
              <c:f>'Pivot Tables'!$BW$5:$BW$11</c:f>
              <c:numCache>
                <c:formatCode>"$"#,##0;\-"$"#,##0</c:formatCode>
                <c:ptCount val="6"/>
                <c:pt idx="4">
                  <c:v>40000</c:v>
                </c:pt>
              </c:numCache>
            </c:numRef>
          </c:val>
          <c:extLst>
            <c:ext xmlns:c16="http://schemas.microsoft.com/office/drawing/2014/chart" uri="{C3380CC4-5D6E-409C-BE32-E72D297353CC}">
              <c16:uniqueId val="{0000000D-E11A-4EE4-A4CE-39858FD593A8}"/>
            </c:ext>
          </c:extLst>
        </c:ser>
        <c:ser>
          <c:idx val="10"/>
          <c:order val="10"/>
          <c:tx>
            <c:strRef>
              <c:f>'Pivot Tables'!$BX$3:$BX$4</c:f>
              <c:strCache>
                <c:ptCount val="1"/>
                <c:pt idx="0">
                  <c:v>Manure Removal</c:v>
                </c:pt>
              </c:strCache>
            </c:strRef>
          </c:tx>
          <c:spPr>
            <a:gradFill flip="none" rotWithShape="1">
              <a:gsLst>
                <a:gs pos="0">
                  <a:srgbClr val="C240D8"/>
                </a:gs>
                <a:gs pos="100000">
                  <a:srgbClr val="FEE6FC"/>
                </a:gs>
              </a:gsLst>
              <a:path path="shape">
                <a:fillToRect l="50000" t="50000" r="50000" b="50000"/>
              </a:path>
              <a:tileRect/>
            </a:gradFill>
            <a:ln>
              <a:noFill/>
            </a:ln>
            <a:effectLst/>
          </c:spPr>
          <c:invertIfNegative val="0"/>
          <c:dPt>
            <c:idx val="5"/>
            <c:invertIfNegative val="0"/>
            <c:bubble3D val="0"/>
            <c:spPr>
              <a:gradFill flip="none" rotWithShape="1">
                <a:gsLst>
                  <a:gs pos="0">
                    <a:srgbClr val="C240D8"/>
                  </a:gs>
                  <a:gs pos="100000">
                    <a:srgbClr val="FEE6FC"/>
                  </a:gs>
                </a:gsLst>
                <a:path path="shape">
                  <a:fillToRect l="50000" t="50000" r="50000" b="50000"/>
                </a:path>
                <a:tileRect/>
              </a:gradFill>
              <a:ln>
                <a:noFill/>
              </a:ln>
              <a:effectLst/>
            </c:spPr>
            <c:extLst>
              <c:ext xmlns:c16="http://schemas.microsoft.com/office/drawing/2014/chart" uri="{C3380CC4-5D6E-409C-BE32-E72D297353CC}">
                <c16:uniqueId val="{0000000E-E11A-4EE4-A4CE-39858FD593A8}"/>
              </c:ext>
            </c:extLst>
          </c:dPt>
          <c:dLbls>
            <c:dLbl>
              <c:idx val="5"/>
              <c:layout>
                <c:manualLayout>
                  <c:x val="1.7856672491875032E-3"/>
                  <c:y val="4.4835254518246007E-2"/>
                </c:manualLayout>
              </c:layout>
              <c:showLegendKey val="0"/>
              <c:showVal val="1"/>
              <c:showCatName val="0"/>
              <c:showSerName val="0"/>
              <c:showPercent val="0"/>
              <c:showBubbleSize val="0"/>
              <c:extLst>
                <c:ext xmlns:c15="http://schemas.microsoft.com/office/drawing/2012/chart" uri="{CE6537A1-D6FC-4f65-9D91-7224C49458BB}">
                  <c15:layout>
                    <c:manualLayout>
                      <c:w val="6.9190469704680374E-2"/>
                      <c:h val="3.4202541205868249E-2"/>
                    </c:manualLayout>
                  </c15:layout>
                </c:ext>
                <c:ext xmlns:c16="http://schemas.microsoft.com/office/drawing/2014/chart" uri="{C3380CC4-5D6E-409C-BE32-E72D297353CC}">
                  <c16:uniqueId val="{0000000E-E11A-4EE4-A4CE-39858FD593A8}"/>
                </c:ext>
              </c:extLst>
            </c:dLbl>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Tables'!$BM$5:$BM$11</c:f>
              <c:strCache>
                <c:ptCount val="6"/>
                <c:pt idx="0">
                  <c:v>Feed</c:v>
                </c:pt>
                <c:pt idx="1">
                  <c:v>Feeder Cattle</c:v>
                </c:pt>
                <c:pt idx="2">
                  <c:v>Fixed</c:v>
                </c:pt>
                <c:pt idx="3">
                  <c:v>Interest</c:v>
                </c:pt>
                <c:pt idx="4">
                  <c:v>Labour</c:v>
                </c:pt>
                <c:pt idx="5">
                  <c:v>Other Operations</c:v>
                </c:pt>
              </c:strCache>
            </c:strRef>
          </c:cat>
          <c:val>
            <c:numRef>
              <c:f>'Pivot Tables'!$BX$5:$BX$11</c:f>
              <c:numCache>
                <c:formatCode>"$"#,##0;\-"$"#,##0</c:formatCode>
                <c:ptCount val="6"/>
                <c:pt idx="5">
                  <c:v>4000.0000000000005</c:v>
                </c:pt>
              </c:numCache>
            </c:numRef>
          </c:val>
          <c:extLst>
            <c:ext xmlns:c16="http://schemas.microsoft.com/office/drawing/2014/chart" uri="{C3380CC4-5D6E-409C-BE32-E72D297353CC}">
              <c16:uniqueId val="{0000000F-E11A-4EE4-A4CE-39858FD593A8}"/>
            </c:ext>
          </c:extLst>
        </c:ser>
        <c:ser>
          <c:idx val="11"/>
          <c:order val="11"/>
          <c:tx>
            <c:strRef>
              <c:f>'Pivot Tables'!$BY$3:$BY$4</c:f>
              <c:strCache>
                <c:ptCount val="1"/>
                <c:pt idx="0">
                  <c:v>Marketing &amp; Transportation</c:v>
                </c:pt>
              </c:strCache>
            </c:strRef>
          </c:tx>
          <c:spPr>
            <a:gradFill flip="none" rotWithShape="1">
              <a:gsLst>
                <a:gs pos="100000">
                  <a:srgbClr val="7030A0"/>
                </a:gs>
                <a:gs pos="56000">
                  <a:srgbClr val="F86EB0"/>
                </a:gs>
              </a:gsLst>
              <a:path path="shape">
                <a:fillToRect l="50000" t="50000" r="50000" b="50000"/>
              </a:path>
              <a:tileRect/>
            </a:gradFill>
            <a:ln>
              <a:noFill/>
            </a:ln>
            <a:effectLst/>
          </c:spPr>
          <c:invertIfNegative val="0"/>
          <c:dPt>
            <c:idx val="5"/>
            <c:invertIfNegative val="0"/>
            <c:bubble3D val="0"/>
            <c:spPr>
              <a:gradFill flip="none" rotWithShape="1">
                <a:gsLst>
                  <a:gs pos="100000">
                    <a:srgbClr val="7030A0"/>
                  </a:gs>
                  <a:gs pos="56000">
                    <a:srgbClr val="F86EB0"/>
                  </a:gs>
                </a:gsLst>
                <a:path path="shape">
                  <a:fillToRect l="50000" t="50000" r="50000" b="50000"/>
                </a:path>
                <a:tileRect/>
              </a:gradFill>
              <a:ln>
                <a:noFill/>
              </a:ln>
              <a:effectLst/>
            </c:spPr>
            <c:extLst>
              <c:ext xmlns:c16="http://schemas.microsoft.com/office/drawing/2014/chart" uri="{C3380CC4-5D6E-409C-BE32-E72D297353CC}">
                <c16:uniqueId val="{00000008-AC08-4F7D-9038-4B80BF6A52BA}"/>
              </c:ext>
            </c:extLst>
          </c:dPt>
          <c:dLbls>
            <c:dLbl>
              <c:idx val="5"/>
              <c:showLegendKey val="0"/>
              <c:showVal val="1"/>
              <c:showCatName val="0"/>
              <c:showSerName val="0"/>
              <c:showPercent val="0"/>
              <c:showBubbleSize val="0"/>
              <c:extLst>
                <c:ext xmlns:c15="http://schemas.microsoft.com/office/drawing/2012/chart" uri="{CE6537A1-D6FC-4f65-9D91-7224C49458BB}">
                  <c15:layout>
                    <c:manualLayout>
                      <c:w val="9.3666657886515015E-2"/>
                      <c:h val="3.4202541205868249E-2"/>
                    </c:manualLayout>
                  </c15:layout>
                </c:ext>
                <c:ext xmlns:c16="http://schemas.microsoft.com/office/drawing/2014/chart" uri="{C3380CC4-5D6E-409C-BE32-E72D297353CC}">
                  <c16:uniqueId val="{00000008-AC08-4F7D-9038-4B80BF6A52BA}"/>
                </c:ext>
              </c:extLst>
            </c:dLbl>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Tables'!$BM$5:$BM$11</c:f>
              <c:strCache>
                <c:ptCount val="6"/>
                <c:pt idx="0">
                  <c:v>Feed</c:v>
                </c:pt>
                <c:pt idx="1">
                  <c:v>Feeder Cattle</c:v>
                </c:pt>
                <c:pt idx="2">
                  <c:v>Fixed</c:v>
                </c:pt>
                <c:pt idx="3">
                  <c:v>Interest</c:v>
                </c:pt>
                <c:pt idx="4">
                  <c:v>Labour</c:v>
                </c:pt>
                <c:pt idx="5">
                  <c:v>Other Operations</c:v>
                </c:pt>
              </c:strCache>
            </c:strRef>
          </c:cat>
          <c:val>
            <c:numRef>
              <c:f>'Pivot Tables'!$BY$5:$BY$11</c:f>
              <c:numCache>
                <c:formatCode>"$"#,##0;\-"$"#,##0</c:formatCode>
                <c:ptCount val="6"/>
                <c:pt idx="5">
                  <c:v>43432</c:v>
                </c:pt>
              </c:numCache>
            </c:numRef>
          </c:val>
          <c:extLst>
            <c:ext xmlns:c16="http://schemas.microsoft.com/office/drawing/2014/chart" uri="{C3380CC4-5D6E-409C-BE32-E72D297353CC}">
              <c16:uniqueId val="{00000010-E11A-4EE4-A4CE-39858FD593A8}"/>
            </c:ext>
          </c:extLst>
        </c:ser>
        <c:ser>
          <c:idx val="12"/>
          <c:order val="12"/>
          <c:tx>
            <c:strRef>
              <c:f>'Pivot Tables'!$BZ$3:$BZ$4</c:f>
              <c:strCache>
                <c:ptCount val="1"/>
                <c:pt idx="0">
                  <c:v>Operating Interest</c:v>
                </c:pt>
              </c:strCache>
            </c:strRef>
          </c:tx>
          <c:spPr>
            <a:gradFill>
              <a:gsLst>
                <a:gs pos="100000">
                  <a:srgbClr val="7030A0"/>
                </a:gs>
                <a:gs pos="70000">
                  <a:srgbClr val="FEE6FC"/>
                </a:gs>
              </a:gsLst>
              <a:path path="shape">
                <a:fillToRect l="50000" t="50000" r="50000" b="50000"/>
              </a:path>
            </a:gradFill>
            <a:ln>
              <a:noFill/>
            </a:ln>
            <a:effectLst/>
          </c:spPr>
          <c:invertIfNegative val="0"/>
          <c:dPt>
            <c:idx val="3"/>
            <c:invertIfNegative val="0"/>
            <c:bubble3D val="0"/>
            <c:spPr>
              <a:gradFill>
                <a:gsLst>
                  <a:gs pos="100000">
                    <a:srgbClr val="7030A0"/>
                  </a:gs>
                  <a:gs pos="70000">
                    <a:srgbClr val="FEE6FC"/>
                  </a:gs>
                </a:gsLst>
                <a:path path="shape">
                  <a:fillToRect l="50000" t="50000" r="50000" b="50000"/>
                </a:path>
              </a:gradFill>
              <a:ln>
                <a:noFill/>
              </a:ln>
              <a:effectLst/>
            </c:spPr>
            <c:extLst>
              <c:ext xmlns:c16="http://schemas.microsoft.com/office/drawing/2014/chart" uri="{C3380CC4-5D6E-409C-BE32-E72D297353CC}">
                <c16:uniqueId val="{0000000A-AC08-4F7D-9038-4B80BF6A52BA}"/>
              </c:ext>
            </c:extLst>
          </c:dPt>
          <c:dLbls>
            <c:dLbl>
              <c:idx val="3"/>
              <c:showLegendKey val="0"/>
              <c:showVal val="1"/>
              <c:showCatName val="0"/>
              <c:showSerName val="0"/>
              <c:showPercent val="0"/>
              <c:showBubbleSize val="0"/>
              <c:extLst>
                <c:ext xmlns:c15="http://schemas.microsoft.com/office/drawing/2012/chart" uri="{CE6537A1-D6FC-4f65-9D91-7224C49458BB}">
                  <c15:layout>
                    <c:manualLayout>
                      <c:w val="0.10080951435981306"/>
                      <c:h val="3.4202541205868249E-2"/>
                    </c:manualLayout>
                  </c15:layout>
                </c:ext>
                <c:ext xmlns:c16="http://schemas.microsoft.com/office/drawing/2014/chart" uri="{C3380CC4-5D6E-409C-BE32-E72D297353CC}">
                  <c16:uniqueId val="{0000000A-AC08-4F7D-9038-4B80BF6A52BA}"/>
                </c:ext>
              </c:extLst>
            </c:dLbl>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Tables'!$BM$5:$BM$11</c:f>
              <c:strCache>
                <c:ptCount val="6"/>
                <c:pt idx="0">
                  <c:v>Feed</c:v>
                </c:pt>
                <c:pt idx="1">
                  <c:v>Feeder Cattle</c:v>
                </c:pt>
                <c:pt idx="2">
                  <c:v>Fixed</c:v>
                </c:pt>
                <c:pt idx="3">
                  <c:v>Interest</c:v>
                </c:pt>
                <c:pt idx="4">
                  <c:v>Labour</c:v>
                </c:pt>
                <c:pt idx="5">
                  <c:v>Other Operations</c:v>
                </c:pt>
              </c:strCache>
            </c:strRef>
          </c:cat>
          <c:val>
            <c:numRef>
              <c:f>'Pivot Tables'!$BZ$5:$BZ$11</c:f>
              <c:numCache>
                <c:formatCode>"$"#,##0;\-"$"#,##0</c:formatCode>
                <c:ptCount val="6"/>
                <c:pt idx="3">
                  <c:v>78348</c:v>
                </c:pt>
              </c:numCache>
            </c:numRef>
          </c:val>
          <c:extLst>
            <c:ext xmlns:c16="http://schemas.microsoft.com/office/drawing/2014/chart" uri="{C3380CC4-5D6E-409C-BE32-E72D297353CC}">
              <c16:uniqueId val="{00000011-E11A-4EE4-A4CE-39858FD593A8}"/>
            </c:ext>
          </c:extLst>
        </c:ser>
        <c:ser>
          <c:idx val="13"/>
          <c:order val="13"/>
          <c:tx>
            <c:strRef>
              <c:f>'Pivot Tables'!$CA$3:$CA$4</c:f>
              <c:strCache>
                <c:ptCount val="1"/>
                <c:pt idx="0">
                  <c:v>Rolled Barley</c:v>
                </c:pt>
              </c:strCache>
            </c:strRef>
          </c:tx>
          <c:spPr>
            <a:gradFill flip="none" rotWithShape="1">
              <a:gsLst>
                <a:gs pos="100000">
                  <a:srgbClr val="7030A0"/>
                </a:gs>
                <a:gs pos="0">
                  <a:schemeClr val="bg1"/>
                </a:gs>
              </a:gsLst>
              <a:path path="rect">
                <a:fillToRect l="100000" t="100000"/>
              </a:path>
              <a:tileRect r="-100000" b="-100000"/>
            </a:gradFill>
            <a:ln>
              <a:noFill/>
            </a:ln>
            <a:effectLst/>
          </c:spPr>
          <c:invertIfNegative val="0"/>
          <c:dPt>
            <c:idx val="0"/>
            <c:invertIfNegative val="0"/>
            <c:bubble3D val="0"/>
            <c:spPr>
              <a:gradFill flip="none" rotWithShape="1">
                <a:gsLst>
                  <a:gs pos="100000">
                    <a:srgbClr val="7030A0"/>
                  </a:gs>
                  <a:gs pos="0">
                    <a:schemeClr val="bg1"/>
                  </a:gs>
                </a:gsLst>
                <a:path path="rect">
                  <a:fillToRect l="100000" t="100000"/>
                </a:path>
                <a:tileRect r="-100000" b="-100000"/>
              </a:gradFill>
              <a:ln>
                <a:noFill/>
              </a:ln>
              <a:effectLst/>
            </c:spPr>
            <c:extLst>
              <c:ext xmlns:c16="http://schemas.microsoft.com/office/drawing/2014/chart" uri="{C3380CC4-5D6E-409C-BE32-E72D297353CC}">
                <c16:uniqueId val="{0000000E-AC08-4F7D-9038-4B80BF6A52BA}"/>
              </c:ext>
            </c:extLst>
          </c:dPt>
          <c:dLbls>
            <c:dLbl>
              <c:idx val="0"/>
              <c:showLegendKey val="0"/>
              <c:showVal val="1"/>
              <c:showCatName val="0"/>
              <c:showSerName val="0"/>
              <c:showPercent val="0"/>
              <c:showBubbleSize val="0"/>
              <c:extLst>
                <c:ext xmlns:c15="http://schemas.microsoft.com/office/drawing/2012/chart" uri="{CE6537A1-D6FC-4f65-9D91-7224C49458BB}">
                  <c15:layout>
                    <c:manualLayout>
                      <c:w val="0.10960713258275845"/>
                      <c:h val="3.7186236794200682E-2"/>
                    </c:manualLayout>
                  </c15:layout>
                </c:ext>
                <c:ext xmlns:c16="http://schemas.microsoft.com/office/drawing/2014/chart" uri="{C3380CC4-5D6E-409C-BE32-E72D297353CC}">
                  <c16:uniqueId val="{0000000E-AC08-4F7D-9038-4B80BF6A52BA}"/>
                </c:ext>
              </c:extLst>
            </c:dLbl>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Tables'!$BM$5:$BM$11</c:f>
              <c:strCache>
                <c:ptCount val="6"/>
                <c:pt idx="0">
                  <c:v>Feed</c:v>
                </c:pt>
                <c:pt idx="1">
                  <c:v>Feeder Cattle</c:v>
                </c:pt>
                <c:pt idx="2">
                  <c:v>Fixed</c:v>
                </c:pt>
                <c:pt idx="3">
                  <c:v>Interest</c:v>
                </c:pt>
                <c:pt idx="4">
                  <c:v>Labour</c:v>
                </c:pt>
                <c:pt idx="5">
                  <c:v>Other Operations</c:v>
                </c:pt>
              </c:strCache>
            </c:strRef>
          </c:cat>
          <c:val>
            <c:numRef>
              <c:f>'Pivot Tables'!$CA$5:$CA$11</c:f>
              <c:numCache>
                <c:formatCode>"$"#,##0;\-"$"#,##0</c:formatCode>
                <c:ptCount val="6"/>
                <c:pt idx="0">
                  <c:v>0</c:v>
                </c:pt>
              </c:numCache>
            </c:numRef>
          </c:val>
          <c:extLst>
            <c:ext xmlns:c16="http://schemas.microsoft.com/office/drawing/2014/chart" uri="{C3380CC4-5D6E-409C-BE32-E72D297353CC}">
              <c16:uniqueId val="{00000012-E11A-4EE4-A4CE-39858FD593A8}"/>
            </c:ext>
          </c:extLst>
        </c:ser>
        <c:ser>
          <c:idx val="14"/>
          <c:order val="14"/>
          <c:tx>
            <c:strRef>
              <c:f>'Pivot Tables'!$CB$3:$CB$4</c:f>
              <c:strCache>
                <c:ptCount val="1"/>
                <c:pt idx="0">
                  <c:v>Straw</c:v>
                </c:pt>
              </c:strCache>
            </c:strRef>
          </c:tx>
          <c:spPr>
            <a:gradFill flip="none" rotWithShape="1">
              <a:gsLst>
                <a:gs pos="90000">
                  <a:schemeClr val="bg1"/>
                </a:gs>
                <a:gs pos="0">
                  <a:srgbClr val="F86EB0"/>
                </a:gs>
              </a:gsLst>
              <a:lin ang="2700000" scaled="1"/>
              <a:tileRect/>
            </a:gradFill>
            <a:ln>
              <a:noFill/>
            </a:ln>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Tables'!$BM$5:$BM$11</c:f>
              <c:strCache>
                <c:ptCount val="6"/>
                <c:pt idx="0">
                  <c:v>Feed</c:v>
                </c:pt>
                <c:pt idx="1">
                  <c:v>Feeder Cattle</c:v>
                </c:pt>
                <c:pt idx="2">
                  <c:v>Fixed</c:v>
                </c:pt>
                <c:pt idx="3">
                  <c:v>Interest</c:v>
                </c:pt>
                <c:pt idx="4">
                  <c:v>Labour</c:v>
                </c:pt>
                <c:pt idx="5">
                  <c:v>Other Operations</c:v>
                </c:pt>
              </c:strCache>
            </c:strRef>
          </c:cat>
          <c:val>
            <c:numRef>
              <c:f>'Pivot Tables'!$CB$5:$CB$11</c:f>
              <c:numCache>
                <c:formatCode>"$"#,##0;\-"$"#,##0</c:formatCode>
                <c:ptCount val="6"/>
                <c:pt idx="5">
                  <c:v>27500.000000000004</c:v>
                </c:pt>
              </c:numCache>
            </c:numRef>
          </c:val>
          <c:extLst>
            <c:ext xmlns:c16="http://schemas.microsoft.com/office/drawing/2014/chart" uri="{C3380CC4-5D6E-409C-BE32-E72D297353CC}">
              <c16:uniqueId val="{00000013-E11A-4EE4-A4CE-39858FD593A8}"/>
            </c:ext>
          </c:extLst>
        </c:ser>
        <c:ser>
          <c:idx val="15"/>
          <c:order val="15"/>
          <c:tx>
            <c:strRef>
              <c:f>'Pivot Tables'!$CC$3:$CC$4</c:f>
              <c:strCache>
                <c:ptCount val="1"/>
                <c:pt idx="0">
                  <c:v>Supplement</c:v>
                </c:pt>
              </c:strCache>
            </c:strRef>
          </c:tx>
          <c:spPr>
            <a:gradFill flip="none" rotWithShape="1">
              <a:gsLst>
                <a:gs pos="89000">
                  <a:srgbClr val="7030A0"/>
                </a:gs>
                <a:gs pos="0">
                  <a:srgbClr val="F86EB0"/>
                </a:gs>
              </a:gsLst>
              <a:path path="shape">
                <a:fillToRect l="50000" t="50000" r="50000" b="50000"/>
              </a:path>
              <a:tileRect/>
            </a:gradFill>
            <a:ln>
              <a:noFill/>
            </a:ln>
            <a:effectLst/>
          </c:spPr>
          <c:invertIfNegative val="0"/>
          <c:dPt>
            <c:idx val="0"/>
            <c:invertIfNegative val="0"/>
            <c:bubble3D val="0"/>
            <c:spPr>
              <a:gradFill flip="none" rotWithShape="1">
                <a:gsLst>
                  <a:gs pos="89000">
                    <a:srgbClr val="7030A0"/>
                  </a:gs>
                  <a:gs pos="0">
                    <a:srgbClr val="F86EB0"/>
                  </a:gs>
                </a:gsLst>
                <a:path path="shape">
                  <a:fillToRect l="50000" t="50000" r="50000" b="50000"/>
                </a:path>
                <a:tileRect/>
              </a:gradFill>
              <a:ln>
                <a:noFill/>
              </a:ln>
              <a:effectLst/>
            </c:spPr>
            <c:extLst>
              <c:ext xmlns:c16="http://schemas.microsoft.com/office/drawing/2014/chart" uri="{C3380CC4-5D6E-409C-BE32-E72D297353CC}">
                <c16:uniqueId val="{00000018-E11A-4EE4-A4CE-39858FD593A8}"/>
              </c:ext>
            </c:extLst>
          </c:dPt>
          <c:dLbls>
            <c:dLbl>
              <c:idx val="0"/>
              <c:layout>
                <c:manualLayout>
                  <c:x val="2.5005003786494947E-3"/>
                  <c:y val="-5.044586999265159E-2"/>
                </c:manualLayout>
              </c:layout>
              <c:showLegendKey val="0"/>
              <c:showVal val="1"/>
              <c:showCatName val="0"/>
              <c:showSerName val="0"/>
              <c:showPercent val="0"/>
              <c:showBubbleSize val="0"/>
              <c:extLst>
                <c:ext xmlns:c15="http://schemas.microsoft.com/office/drawing/2012/chart" uri="{CE6537A1-D6FC-4f65-9D91-7224C49458BB}">
                  <c15:layout>
                    <c:manualLayout>
                      <c:w val="4.9710437784923345E-2"/>
                      <c:h val="3.4202541205868249E-2"/>
                    </c:manualLayout>
                  </c15:layout>
                </c:ext>
                <c:ext xmlns:c16="http://schemas.microsoft.com/office/drawing/2014/chart" uri="{C3380CC4-5D6E-409C-BE32-E72D297353CC}">
                  <c16:uniqueId val="{00000018-E11A-4EE4-A4CE-39858FD593A8}"/>
                </c:ext>
              </c:extLst>
            </c:dLbl>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Tables'!$BM$5:$BM$11</c:f>
              <c:strCache>
                <c:ptCount val="6"/>
                <c:pt idx="0">
                  <c:v>Feed</c:v>
                </c:pt>
                <c:pt idx="1">
                  <c:v>Feeder Cattle</c:v>
                </c:pt>
                <c:pt idx="2">
                  <c:v>Fixed</c:v>
                </c:pt>
                <c:pt idx="3">
                  <c:v>Interest</c:v>
                </c:pt>
                <c:pt idx="4">
                  <c:v>Labour</c:v>
                </c:pt>
                <c:pt idx="5">
                  <c:v>Other Operations</c:v>
                </c:pt>
              </c:strCache>
            </c:strRef>
          </c:cat>
          <c:val>
            <c:numRef>
              <c:f>'Pivot Tables'!$CC$5:$CC$11</c:f>
              <c:numCache>
                <c:formatCode>"$"#,##0;\-"$"#,##0</c:formatCode>
                <c:ptCount val="6"/>
                <c:pt idx="0">
                  <c:v>13605</c:v>
                </c:pt>
              </c:numCache>
            </c:numRef>
          </c:val>
          <c:extLst>
            <c:ext xmlns:c16="http://schemas.microsoft.com/office/drawing/2014/chart" uri="{C3380CC4-5D6E-409C-BE32-E72D297353CC}">
              <c16:uniqueId val="{00000014-E11A-4EE4-A4CE-39858FD593A8}"/>
            </c:ext>
          </c:extLst>
        </c:ser>
        <c:ser>
          <c:idx val="16"/>
          <c:order val="16"/>
          <c:tx>
            <c:strRef>
              <c:f>'Pivot Tables'!$CD$3:$CD$4</c:f>
              <c:strCache>
                <c:ptCount val="1"/>
                <c:pt idx="0">
                  <c:v>Utilities</c:v>
                </c:pt>
              </c:strCache>
            </c:strRef>
          </c:tx>
          <c:spPr>
            <a:gradFill flip="none" rotWithShape="1">
              <a:gsLst>
                <a:gs pos="100000">
                  <a:srgbClr val="7030A0"/>
                </a:gs>
                <a:gs pos="0">
                  <a:srgbClr val="FEE6FC"/>
                </a:gs>
              </a:gsLst>
              <a:path path="shape">
                <a:fillToRect l="50000" t="50000" r="50000" b="50000"/>
              </a:path>
              <a:tileRect/>
            </a:gradFill>
            <a:ln>
              <a:noFill/>
            </a:ln>
            <a:effectLst/>
          </c:spPr>
          <c:invertIfNegative val="0"/>
          <c:dPt>
            <c:idx val="5"/>
            <c:invertIfNegative val="0"/>
            <c:bubble3D val="0"/>
            <c:spPr>
              <a:gradFill flip="none" rotWithShape="1">
                <a:gsLst>
                  <a:gs pos="100000">
                    <a:srgbClr val="7030A0"/>
                  </a:gs>
                  <a:gs pos="0">
                    <a:srgbClr val="FEE6FC"/>
                  </a:gs>
                </a:gsLst>
                <a:path path="shape">
                  <a:fillToRect l="50000" t="50000" r="50000" b="50000"/>
                </a:path>
                <a:tileRect/>
              </a:gradFill>
              <a:ln>
                <a:noFill/>
              </a:ln>
              <a:effectLst/>
            </c:spPr>
            <c:extLst>
              <c:ext xmlns:c16="http://schemas.microsoft.com/office/drawing/2014/chart" uri="{C3380CC4-5D6E-409C-BE32-E72D297353CC}">
                <c16:uniqueId val="{00000015-E11A-4EE4-A4CE-39858FD593A8}"/>
              </c:ext>
            </c:extLst>
          </c:dPt>
          <c:dLbls>
            <c:dLbl>
              <c:idx val="5"/>
              <c:layout>
                <c:manualLayout>
                  <c:x val="4.8300708803393678E-4"/>
                  <c:y val="-4.5757966033619382E-2"/>
                </c:manualLayout>
              </c:layout>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4.0688517095978829E-2"/>
                      <c:h val="2.7654556215648867E-2"/>
                    </c:manualLayout>
                  </c15:layout>
                </c:ext>
                <c:ext xmlns:c16="http://schemas.microsoft.com/office/drawing/2014/chart" uri="{C3380CC4-5D6E-409C-BE32-E72D297353CC}">
                  <c16:uniqueId val="{00000015-E11A-4EE4-A4CE-39858FD593A8}"/>
                </c:ext>
              </c:extLst>
            </c:dLbl>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Tables'!$BM$5:$BM$11</c:f>
              <c:strCache>
                <c:ptCount val="6"/>
                <c:pt idx="0">
                  <c:v>Feed</c:v>
                </c:pt>
                <c:pt idx="1">
                  <c:v>Feeder Cattle</c:v>
                </c:pt>
                <c:pt idx="2">
                  <c:v>Fixed</c:v>
                </c:pt>
                <c:pt idx="3">
                  <c:v>Interest</c:v>
                </c:pt>
                <c:pt idx="4">
                  <c:v>Labour</c:v>
                </c:pt>
                <c:pt idx="5">
                  <c:v>Other Operations</c:v>
                </c:pt>
              </c:strCache>
            </c:strRef>
          </c:cat>
          <c:val>
            <c:numRef>
              <c:f>'Pivot Tables'!$CD$5:$CD$11</c:f>
              <c:numCache>
                <c:formatCode>"$"#,##0;\-"$"#,##0</c:formatCode>
                <c:ptCount val="6"/>
                <c:pt idx="5">
                  <c:v>2500</c:v>
                </c:pt>
              </c:numCache>
            </c:numRef>
          </c:val>
          <c:extLst>
            <c:ext xmlns:c16="http://schemas.microsoft.com/office/drawing/2014/chart" uri="{C3380CC4-5D6E-409C-BE32-E72D297353CC}">
              <c16:uniqueId val="{00000016-E11A-4EE4-A4CE-39858FD593A8}"/>
            </c:ext>
          </c:extLst>
        </c:ser>
        <c:ser>
          <c:idx val="17"/>
          <c:order val="17"/>
          <c:tx>
            <c:strRef>
              <c:f>'Pivot Tables'!$CE$3:$CE$4</c:f>
              <c:strCache>
                <c:ptCount val="1"/>
                <c:pt idx="0">
                  <c:v>Veterinary Medicine &amp; Supplies</c:v>
                </c:pt>
              </c:strCache>
            </c:strRef>
          </c:tx>
          <c:spPr>
            <a:gradFill flip="none" rotWithShape="1">
              <a:gsLst>
                <a:gs pos="38000">
                  <a:srgbClr val="F86EB0"/>
                </a:gs>
                <a:gs pos="100000">
                  <a:srgbClr val="FEE6FC"/>
                </a:gs>
              </a:gsLst>
              <a:path path="shape">
                <a:fillToRect l="50000" t="50000" r="50000" b="50000"/>
              </a:path>
              <a:tileRect/>
            </a:gradFill>
            <a:ln>
              <a:noFill/>
            </a:ln>
            <a:effectLst/>
          </c:spPr>
          <c:invertIfNegative val="0"/>
          <c:dPt>
            <c:idx val="5"/>
            <c:invertIfNegative val="0"/>
            <c:bubble3D val="0"/>
            <c:extLst>
              <c:ext xmlns:c16="http://schemas.microsoft.com/office/drawing/2014/chart" uri="{C3380CC4-5D6E-409C-BE32-E72D297353CC}">
                <c16:uniqueId val="{00000020-D777-43D9-A230-8D1B331A9871}"/>
              </c:ext>
            </c:extLst>
          </c:dPt>
          <c:dLbls>
            <c:dLbl>
              <c:idx val="5"/>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5.4372069867926087E-2"/>
                      <c:h val="3.5857632002152959E-2"/>
                    </c:manualLayout>
                  </c15:layout>
                </c:ext>
                <c:ext xmlns:c16="http://schemas.microsoft.com/office/drawing/2014/chart" uri="{C3380CC4-5D6E-409C-BE32-E72D297353CC}">
                  <c16:uniqueId val="{00000020-D777-43D9-A230-8D1B331A9871}"/>
                </c:ext>
              </c:extLst>
            </c:dLbl>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Tables'!$BM$5:$BM$11</c:f>
              <c:strCache>
                <c:ptCount val="6"/>
                <c:pt idx="0">
                  <c:v>Feed</c:v>
                </c:pt>
                <c:pt idx="1">
                  <c:v>Feeder Cattle</c:v>
                </c:pt>
                <c:pt idx="2">
                  <c:v>Fixed</c:v>
                </c:pt>
                <c:pt idx="3">
                  <c:v>Interest</c:v>
                </c:pt>
                <c:pt idx="4">
                  <c:v>Labour</c:v>
                </c:pt>
                <c:pt idx="5">
                  <c:v>Other Operations</c:v>
                </c:pt>
              </c:strCache>
            </c:strRef>
          </c:cat>
          <c:val>
            <c:numRef>
              <c:f>'Pivot Tables'!$CE$5:$CE$11</c:f>
              <c:numCache>
                <c:formatCode>"$"#,##0;\-"$"#,##0</c:formatCode>
                <c:ptCount val="6"/>
                <c:pt idx="5">
                  <c:v>10830</c:v>
                </c:pt>
              </c:numCache>
            </c:numRef>
          </c:val>
          <c:extLst>
            <c:ext xmlns:c16="http://schemas.microsoft.com/office/drawing/2014/chart" uri="{C3380CC4-5D6E-409C-BE32-E72D297353CC}">
              <c16:uniqueId val="{00000017-E11A-4EE4-A4CE-39858FD593A8}"/>
            </c:ext>
          </c:extLst>
        </c:ser>
        <c:dLbls>
          <c:showLegendKey val="0"/>
          <c:showVal val="1"/>
          <c:showCatName val="0"/>
          <c:showSerName val="0"/>
          <c:showPercent val="0"/>
          <c:showBubbleSize val="0"/>
        </c:dLbls>
        <c:gapWidth val="150"/>
        <c:overlap val="100"/>
        <c:axId val="346134256"/>
        <c:axId val="1978735328"/>
      </c:barChart>
      <c:catAx>
        <c:axId val="3461342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crossAx val="1978735328"/>
        <c:crosses val="autoZero"/>
        <c:auto val="1"/>
        <c:lblAlgn val="ctr"/>
        <c:lblOffset val="100"/>
        <c:noMultiLvlLbl val="0"/>
      </c:catAx>
      <c:valAx>
        <c:axId val="1978735328"/>
        <c:scaling>
          <c:orientation val="minMax"/>
        </c:scaling>
        <c:delete val="1"/>
        <c:axPos val="b"/>
        <c:numFmt formatCode="0%" sourceLinked="1"/>
        <c:majorTickMark val="none"/>
        <c:minorTickMark val="none"/>
        <c:tickLblPos val="nextTo"/>
        <c:crossAx val="3461342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[Feedlot Economics_Updated_VBA.xlsm]Pivot Tables!PivotTable3</c:name>
    <c:fmtId val="17"/>
  </c:pivotSource>
  <c:chart>
    <c:autoTitleDeleted val="0"/>
    <c:pivotFmts>
      <c:pivotFmt>
        <c:idx val="0"/>
        <c:spPr>
          <a:solidFill>
            <a:schemeClr val="accent1"/>
          </a:solidFill>
          <a:ln w="12700"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100000">
                <a:schemeClr val="tx1"/>
              </a:gs>
              <a:gs pos="31000">
                <a:srgbClr val="194AFE"/>
              </a:gs>
            </a:gsLst>
            <a:lin ang="54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100000">
                <a:schemeClr val="tx1"/>
              </a:gs>
              <a:gs pos="31000">
                <a:srgbClr val="194AFE"/>
              </a:gs>
            </a:gsLst>
            <a:lin ang="54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2700"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100000">
                <a:srgbClr val="194AFE">
                  <a:alpha val="0"/>
                </a:srgbClr>
              </a:gs>
              <a:gs pos="32000">
                <a:srgbClr val="194AFE">
                  <a:alpha val="83000"/>
                </a:srgbClr>
              </a:gs>
            </a:gsLst>
            <a:lin ang="54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5875"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flip="none" rotWithShape="1">
            <a:gsLst>
              <a:gs pos="100000">
                <a:srgbClr val="194AFE">
                  <a:alpha val="0"/>
                </a:srgbClr>
              </a:gs>
              <a:gs pos="32000">
                <a:srgbClr val="194AFE">
                  <a:alpha val="83000"/>
                </a:srgbClr>
              </a:gs>
            </a:gsLst>
            <a:lin ang="54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5875"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flip="none" rotWithShape="1">
            <a:gsLst>
              <a:gs pos="100000">
                <a:srgbClr val="194AFE">
                  <a:alpha val="0"/>
                </a:srgbClr>
              </a:gs>
              <a:gs pos="32000">
                <a:srgbClr val="194AFE">
                  <a:alpha val="83000"/>
                </a:srgbClr>
              </a:gs>
            </a:gsLst>
            <a:lin ang="54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15875"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1"/>
          <c:order val="1"/>
          <c:tx>
            <c:strRef>
              <c:f>'Pivot Tables'!$AB$3</c:f>
              <c:strCache>
                <c:ptCount val="1"/>
                <c:pt idx="0">
                  <c:v>Sum of Input Cost 2</c:v>
                </c:pt>
              </c:strCache>
            </c:strRef>
          </c:tx>
          <c:spPr>
            <a:gradFill flip="none" rotWithShape="1">
              <a:gsLst>
                <a:gs pos="100000">
                  <a:srgbClr val="194AFE">
                    <a:alpha val="0"/>
                  </a:srgbClr>
                </a:gs>
                <a:gs pos="32000">
                  <a:srgbClr val="194AFE">
                    <a:alpha val="83000"/>
                  </a:srgbClr>
                </a:gs>
              </a:gsLst>
              <a:lin ang="5400000" scaled="0"/>
              <a:tileRect/>
            </a:gradFill>
            <a:ln>
              <a:noFill/>
            </a:ln>
            <a:effectLst/>
          </c:spPr>
          <c:cat>
            <c:strRef>
              <c:f>'Pivot Tables'!$Z$4:$Z$12</c:f>
              <c:strCache>
                <c:ptCount val="8"/>
                <c:pt idx="0">
                  <c:v>Month 1</c:v>
                </c:pt>
                <c:pt idx="1">
                  <c:v>Month 2</c:v>
                </c:pt>
                <c:pt idx="2">
                  <c:v>Month 3</c:v>
                </c:pt>
                <c:pt idx="3">
                  <c:v>Month 4</c:v>
                </c:pt>
                <c:pt idx="4">
                  <c:v>Month 5</c:v>
                </c:pt>
                <c:pt idx="5">
                  <c:v>Month 6</c:v>
                </c:pt>
                <c:pt idx="6">
                  <c:v>Month 7</c:v>
                </c:pt>
                <c:pt idx="7">
                  <c:v>Month 8</c:v>
                </c:pt>
              </c:strCache>
            </c:strRef>
          </c:cat>
          <c:val>
            <c:numRef>
              <c:f>'Pivot Tables'!$AB$4:$AB$12</c:f>
              <c:numCache>
                <c:formatCode>"$"#,##0;\-"$"#,##0</c:formatCode>
                <c:ptCount val="8"/>
                <c:pt idx="0">
                  <c:v>121623.14310630818</c:v>
                </c:pt>
                <c:pt idx="1">
                  <c:v>73358.060591311456</c:v>
                </c:pt>
                <c:pt idx="2">
                  <c:v>253638.86193732367</c:v>
                </c:pt>
                <c:pt idx="3">
                  <c:v>311053.97538166295</c:v>
                </c:pt>
                <c:pt idx="4">
                  <c:v>452358.11240537884</c:v>
                </c:pt>
                <c:pt idx="5">
                  <c:v>375983.61171341466</c:v>
                </c:pt>
                <c:pt idx="6">
                  <c:v>303498.09776101133</c:v>
                </c:pt>
                <c:pt idx="7">
                  <c:v>233442.13710358876</c:v>
                </c:pt>
              </c:numCache>
            </c:numRef>
          </c:val>
          <c:extLst>
            <c:ext xmlns:c16="http://schemas.microsoft.com/office/drawing/2014/chart" uri="{C3380CC4-5D6E-409C-BE32-E72D297353CC}">
              <c16:uniqueId val="{00000000-9472-4170-A8C2-1380486FB128}"/>
            </c:ext>
          </c:extLst>
        </c:ser>
        <c:dLbls>
          <c:showLegendKey val="0"/>
          <c:showVal val="0"/>
          <c:showCatName val="0"/>
          <c:showSerName val="0"/>
          <c:showPercent val="0"/>
          <c:showBubbleSize val="0"/>
        </c:dLbls>
        <c:axId val="1874204159"/>
        <c:axId val="1501350751"/>
      </c:areaChart>
      <c:lineChart>
        <c:grouping val="standard"/>
        <c:varyColors val="0"/>
        <c:ser>
          <c:idx val="0"/>
          <c:order val="0"/>
          <c:tx>
            <c:strRef>
              <c:f>'Pivot Tables'!$AA$3</c:f>
              <c:strCache>
                <c:ptCount val="1"/>
                <c:pt idx="0">
                  <c:v>Sum of Input Cost </c:v>
                </c:pt>
              </c:strCache>
            </c:strRef>
          </c:tx>
          <c:spPr>
            <a:ln w="15875" cap="rnd">
              <a:solidFill>
                <a:srgbClr val="194AFE"/>
              </a:solidFill>
              <a:round/>
            </a:ln>
            <a:effectLst/>
          </c:spPr>
          <c:marker>
            <c:symbol val="none"/>
          </c:marker>
          <c:cat>
            <c:strRef>
              <c:f>'Pivot Tables'!$Z$4:$Z$12</c:f>
              <c:strCache>
                <c:ptCount val="8"/>
                <c:pt idx="0">
                  <c:v>Month 1</c:v>
                </c:pt>
                <c:pt idx="1">
                  <c:v>Month 2</c:v>
                </c:pt>
                <c:pt idx="2">
                  <c:v>Month 3</c:v>
                </c:pt>
                <c:pt idx="3">
                  <c:v>Month 4</c:v>
                </c:pt>
                <c:pt idx="4">
                  <c:v>Month 5</c:v>
                </c:pt>
                <c:pt idx="5">
                  <c:v>Month 6</c:v>
                </c:pt>
                <c:pt idx="6">
                  <c:v>Month 7</c:v>
                </c:pt>
                <c:pt idx="7">
                  <c:v>Month 8</c:v>
                </c:pt>
              </c:strCache>
            </c:strRef>
          </c:cat>
          <c:val>
            <c:numRef>
              <c:f>'Pivot Tables'!$AA$4:$AA$12</c:f>
              <c:numCache>
                <c:formatCode>"$"#,##0;\-"$"#,##0</c:formatCode>
                <c:ptCount val="8"/>
                <c:pt idx="0">
                  <c:v>121623.14310630818</c:v>
                </c:pt>
                <c:pt idx="1">
                  <c:v>73358.060591311456</c:v>
                </c:pt>
                <c:pt idx="2">
                  <c:v>253638.86193732367</c:v>
                </c:pt>
                <c:pt idx="3">
                  <c:v>311053.97538166295</c:v>
                </c:pt>
                <c:pt idx="4">
                  <c:v>452358.11240537884</c:v>
                </c:pt>
                <c:pt idx="5">
                  <c:v>375983.61171341466</c:v>
                </c:pt>
                <c:pt idx="6">
                  <c:v>303498.09776101133</c:v>
                </c:pt>
                <c:pt idx="7">
                  <c:v>233442.13710358876</c:v>
                </c:pt>
              </c:numCache>
            </c:numRef>
          </c:val>
          <c:smooth val="0"/>
          <c:extLst>
            <c:ext xmlns:c16="http://schemas.microsoft.com/office/drawing/2014/chart" uri="{C3380CC4-5D6E-409C-BE32-E72D297353CC}">
              <c16:uniqueId val="{00000001-9472-4170-A8C2-1380486FB128}"/>
            </c:ext>
          </c:extLst>
        </c:ser>
        <c:dLbls>
          <c:showLegendKey val="0"/>
          <c:showVal val="0"/>
          <c:showCatName val="0"/>
          <c:showSerName val="0"/>
          <c:showPercent val="0"/>
          <c:showBubbleSize val="0"/>
        </c:dLbls>
        <c:marker val="1"/>
        <c:smooth val="0"/>
        <c:axId val="1874204159"/>
        <c:axId val="1501350751"/>
      </c:lineChart>
      <c:catAx>
        <c:axId val="1874204159"/>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US"/>
          </a:p>
        </c:txPr>
        <c:crossAx val="1501350751"/>
        <c:crosses val="autoZero"/>
        <c:auto val="1"/>
        <c:lblAlgn val="ctr"/>
        <c:lblOffset val="100"/>
        <c:noMultiLvlLbl val="0"/>
      </c:catAx>
      <c:valAx>
        <c:axId val="1501350751"/>
        <c:scaling>
          <c:orientation val="minMax"/>
        </c:scaling>
        <c:delete val="1"/>
        <c:axPos val="l"/>
        <c:numFmt formatCode="&quot;$&quot;#,##0;\-&quot;$&quot;#,##0" sourceLinked="1"/>
        <c:majorTickMark val="none"/>
        <c:minorTickMark val="none"/>
        <c:tickLblPos val="nextTo"/>
        <c:crossAx val="1874204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[Feedlot Economics_Updated_VBA.xlsm]Pivot Tables!PivotTable4</c:name>
    <c:fmtId val="2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90000">
                <a:srgbClr val="C240D8"/>
              </a:gs>
              <a:gs pos="27000">
                <a:schemeClr val="accent1">
                  <a:lumMod val="30000"/>
                  <a:lumOff val="70000"/>
                </a:schemeClr>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flip="none" rotWithShape="1">
            <a:gsLst>
              <a:gs pos="90000">
                <a:srgbClr val="C240D8"/>
              </a:gs>
              <a:gs pos="27000">
                <a:schemeClr val="accent1">
                  <a:lumMod val="30000"/>
                  <a:lumOff val="70000"/>
                </a:schemeClr>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90000">
                <a:srgbClr val="C240D8"/>
              </a:gs>
              <a:gs pos="27000">
                <a:schemeClr val="accent1">
                  <a:lumMod val="30000"/>
                  <a:lumOff val="70000"/>
                </a:schemeClr>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Tables'!$AG$3</c:f>
              <c:strCache>
                <c:ptCount val="1"/>
                <c:pt idx="0">
                  <c:v>Total</c:v>
                </c:pt>
              </c:strCache>
            </c:strRef>
          </c:tx>
          <c:spPr>
            <a:gradFill flip="none" rotWithShape="1">
              <a:gsLst>
                <a:gs pos="90000">
                  <a:srgbClr val="C240D8"/>
                </a:gs>
                <a:gs pos="27000">
                  <a:schemeClr val="accent1">
                    <a:lumMod val="30000"/>
                    <a:lumOff val="70000"/>
                  </a:schemeClr>
                </a:gs>
              </a:gsLst>
              <a:lin ang="0" scaled="1"/>
              <a:tileRect/>
            </a:gradFill>
            <a:ln>
              <a:noFill/>
            </a:ln>
            <a:effectLst/>
          </c:spPr>
          <c:invertIfNegative val="0"/>
          <c:cat>
            <c:strRef>
              <c:f>'Pivot Tables'!$AF$4:$AF$12</c:f>
              <c:strCache>
                <c:ptCount val="8"/>
                <c:pt idx="0">
                  <c:v>Month 1</c:v>
                </c:pt>
                <c:pt idx="1">
                  <c:v>Month 2</c:v>
                </c:pt>
                <c:pt idx="2">
                  <c:v>Month 3</c:v>
                </c:pt>
                <c:pt idx="3">
                  <c:v>Month 4</c:v>
                </c:pt>
                <c:pt idx="4">
                  <c:v>Month 5</c:v>
                </c:pt>
                <c:pt idx="5">
                  <c:v>Month 6</c:v>
                </c:pt>
                <c:pt idx="6">
                  <c:v>Month 7</c:v>
                </c:pt>
                <c:pt idx="7">
                  <c:v>Month 8</c:v>
                </c:pt>
              </c:strCache>
            </c:strRef>
          </c:cat>
          <c:val>
            <c:numRef>
              <c:f>'Pivot Tables'!$AG$4:$AG$12</c:f>
              <c:numCache>
                <c:formatCode>"$"#,##0;\-"$"#,##0</c:formatCode>
                <c:ptCount val="8"/>
                <c:pt idx="0">
                  <c:v>11496.55821671917</c:v>
                </c:pt>
                <c:pt idx="1">
                  <c:v>4452.4257404696409</c:v>
                </c:pt>
                <c:pt idx="2">
                  <c:v>23757.446897426435</c:v>
                </c:pt>
                <c:pt idx="3">
                  <c:v>23837.406847024751</c:v>
                </c:pt>
                <c:pt idx="4">
                  <c:v>3470.6076399905437</c:v>
                </c:pt>
                <c:pt idx="5">
                  <c:v>46617.571965153744</c:v>
                </c:pt>
                <c:pt idx="6">
                  <c:v>29216.8617827091</c:v>
                </c:pt>
                <c:pt idx="7">
                  <c:v>39605.120910506608</c:v>
                </c:pt>
              </c:numCache>
            </c:numRef>
          </c:val>
          <c:extLst>
            <c:ext xmlns:c16="http://schemas.microsoft.com/office/drawing/2014/chart" uri="{C3380CC4-5D6E-409C-BE32-E72D297353CC}">
              <c16:uniqueId val="{00000000-6181-43E9-AF63-7805487BFBB7}"/>
            </c:ext>
          </c:extLst>
        </c:ser>
        <c:dLbls>
          <c:showLegendKey val="0"/>
          <c:showVal val="0"/>
          <c:showCatName val="0"/>
          <c:showSerName val="0"/>
          <c:showPercent val="0"/>
          <c:showBubbleSize val="0"/>
        </c:dLbls>
        <c:gapWidth val="232"/>
        <c:axId val="1907950624"/>
        <c:axId val="834289856"/>
      </c:barChart>
      <c:catAx>
        <c:axId val="19079506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834289856"/>
        <c:crosses val="autoZero"/>
        <c:auto val="1"/>
        <c:lblAlgn val="ctr"/>
        <c:lblOffset val="100"/>
        <c:noMultiLvlLbl val="0"/>
      </c:catAx>
      <c:valAx>
        <c:axId val="834289856"/>
        <c:scaling>
          <c:orientation val="minMax"/>
        </c:scaling>
        <c:delete val="1"/>
        <c:axPos val="b"/>
        <c:numFmt formatCode="&quot;$&quot;#,##0;\-&quot;$&quot;#,##0" sourceLinked="1"/>
        <c:majorTickMark val="none"/>
        <c:minorTickMark val="none"/>
        <c:tickLblPos val="nextTo"/>
        <c:crossAx val="190795062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'Pivot Tables'!$AP$3</c:f>
              <c:strCache>
                <c:ptCount val="1"/>
                <c:pt idx="0">
                  <c:v>FX</c:v>
                </c:pt>
              </c:strCache>
            </c:strRef>
          </c:tx>
          <c:spPr>
            <a:solidFill>
              <a:srgbClr val="194AFE"/>
            </a:solidFill>
            <a:ln>
              <a:solidFill>
                <a:srgbClr val="070E25"/>
              </a:solidFill>
            </a:ln>
          </c:spPr>
          <c:dPt>
            <c:idx val="0"/>
            <c:bubble3D val="0"/>
            <c:spPr>
              <a:solidFill>
                <a:srgbClr val="194AFE"/>
              </a:solidFill>
              <a:ln w="19050">
                <a:solidFill>
                  <a:srgbClr val="070E25"/>
                </a:solidFill>
              </a:ln>
              <a:effectLst/>
            </c:spPr>
            <c:extLst>
              <c:ext xmlns:c16="http://schemas.microsoft.com/office/drawing/2014/chart" uri="{C3380CC4-5D6E-409C-BE32-E72D297353CC}">
                <c16:uniqueId val="{00000001-1AF7-45E2-936A-E026B773B060}"/>
              </c:ext>
            </c:extLst>
          </c:dPt>
          <c:dPt>
            <c:idx val="1"/>
            <c:bubble3D val="0"/>
            <c:spPr>
              <a:solidFill>
                <a:srgbClr val="98F8F2"/>
              </a:solidFill>
              <a:ln w="19050">
                <a:solidFill>
                  <a:srgbClr val="070E25"/>
                </a:solidFill>
              </a:ln>
              <a:effectLst/>
            </c:spPr>
            <c:extLst>
              <c:ext xmlns:c16="http://schemas.microsoft.com/office/drawing/2014/chart" uri="{C3380CC4-5D6E-409C-BE32-E72D297353CC}">
                <c16:uniqueId val="{00000003-1AF7-45E2-936A-E026B773B060}"/>
              </c:ext>
            </c:extLst>
          </c:dPt>
          <c:val>
            <c:numRef>
              <c:f>'Pivot Tables'!$AQ$3:$AR$3</c:f>
              <c:numCache>
                <c:formatCode>0.00%</c:formatCode>
                <c:ptCount val="2"/>
                <c:pt idx="0" formatCode="&quot;$&quot;#,##0;\-&quot;$&quot;#,##0">
                  <c:v>10034</c:v>
                </c:pt>
                <c:pt idx="1">
                  <c:v>4.7219801257061319E-3</c:v>
                </c:pt>
              </c:numCache>
            </c:numRef>
          </c:val>
          <c:extLst>
            <c:ext xmlns:c16="http://schemas.microsoft.com/office/drawing/2014/chart" uri="{C3380CC4-5D6E-409C-BE32-E72D297353CC}">
              <c16:uniqueId val="{00000004-1AF7-45E2-936A-E026B773B060}"/>
            </c:ext>
          </c:extLst>
        </c:ser>
        <c:ser>
          <c:idx val="1"/>
          <c:order val="1"/>
          <c:tx>
            <c:strRef>
              <c:f>'Pivot Tables'!$AP$4</c:f>
              <c:strCache>
                <c:ptCount val="1"/>
                <c:pt idx="0">
                  <c:v>OPS</c:v>
                </c:pt>
              </c:strCache>
            </c:strRef>
          </c:tx>
          <c:spPr>
            <a:solidFill>
              <a:srgbClr val="194AFE"/>
            </a:solidFill>
            <a:ln>
              <a:noFill/>
            </a:ln>
          </c:spPr>
          <c:dPt>
            <c:idx val="0"/>
            <c:bubble3D val="0"/>
            <c:spPr>
              <a:solidFill>
                <a:srgbClr val="194AFE"/>
              </a:solidFill>
              <a:ln w="19050">
                <a:solidFill>
                  <a:srgbClr val="070E25"/>
                </a:solidFill>
              </a:ln>
              <a:effectLst/>
            </c:spPr>
            <c:extLst>
              <c:ext xmlns:c16="http://schemas.microsoft.com/office/drawing/2014/chart" uri="{C3380CC4-5D6E-409C-BE32-E72D297353CC}">
                <c16:uniqueId val="{00000006-1AF7-45E2-936A-E026B773B060}"/>
              </c:ext>
            </c:extLst>
          </c:dPt>
          <c:dPt>
            <c:idx val="1"/>
            <c:bubble3D val="0"/>
            <c:spPr>
              <a:solidFill>
                <a:srgbClr val="98F8F2"/>
              </a:solidFill>
              <a:ln w="19050">
                <a:noFill/>
              </a:ln>
              <a:effectLst/>
            </c:spPr>
            <c:extLst>
              <c:ext xmlns:c16="http://schemas.microsoft.com/office/drawing/2014/chart" uri="{C3380CC4-5D6E-409C-BE32-E72D297353CC}">
                <c16:uniqueId val="{00000008-1AF7-45E2-936A-E026B773B060}"/>
              </c:ext>
            </c:extLst>
          </c:dPt>
          <c:val>
            <c:numRef>
              <c:f>'Pivot Tables'!$AQ$4:$AR$4</c:f>
              <c:numCache>
                <c:formatCode>0.00%</c:formatCode>
                <c:ptCount val="2"/>
                <c:pt idx="0" formatCode="&quot;$&quot;#,##0;\-&quot;$&quot;#,##0">
                  <c:v>2114922</c:v>
                </c:pt>
                <c:pt idx="1">
                  <c:v>0.99527801987429387</c:v>
                </c:pt>
              </c:numCache>
            </c:numRef>
          </c:val>
          <c:extLst>
            <c:ext xmlns:c16="http://schemas.microsoft.com/office/drawing/2014/chart" uri="{C3380CC4-5D6E-409C-BE32-E72D297353CC}">
              <c16:uniqueId val="{00000009-1AF7-45E2-936A-E026B773B060}"/>
            </c:ext>
          </c:extLst>
        </c:ser>
        <c:dLbls>
          <c:showLegendKey val="0"/>
          <c:showVal val="0"/>
          <c:showCatName val="0"/>
          <c:showSerName val="0"/>
          <c:showPercent val="0"/>
          <c:showBubbleSize val="0"/>
          <c:showLeaderLines val="1"/>
        </c:dLbls>
        <c:firstSliceAng val="36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Investment!A1"/><Relationship Id="rId13" Type="http://schemas.openxmlformats.org/officeDocument/2006/relationships/image" Target="../media/image3.svg"/><Relationship Id="rId3" Type="http://schemas.openxmlformats.org/officeDocument/2006/relationships/image" Target="../media/image1.png"/><Relationship Id="rId7" Type="http://schemas.openxmlformats.org/officeDocument/2006/relationships/hyperlink" Target="#Breakeven!A1"/><Relationship Id="rId12" Type="http://schemas.openxmlformats.org/officeDocument/2006/relationships/image" Target="../media/image2.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Income!A1"/><Relationship Id="rId11" Type="http://schemas.openxmlformats.org/officeDocument/2006/relationships/chart" Target="../charts/chart5.xml"/><Relationship Id="rId5" Type="http://schemas.openxmlformats.org/officeDocument/2006/relationships/hyperlink" Target="#Production!A1"/><Relationship Id="rId15" Type="http://schemas.openxmlformats.org/officeDocument/2006/relationships/image" Target="../media/image5.svg"/><Relationship Id="rId10" Type="http://schemas.openxmlformats.org/officeDocument/2006/relationships/chart" Target="../charts/chart4.xml"/><Relationship Id="rId4" Type="http://schemas.openxmlformats.org/officeDocument/2006/relationships/hyperlink" Target="http://agrilife.tamu.edu" TargetMode="External"/><Relationship Id="rId9" Type="http://schemas.openxmlformats.org/officeDocument/2006/relationships/chart" Target="../charts/chart3.xml"/><Relationship Id="rId1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chart" Target="../charts/chart10.xml"/><Relationship Id="rId3" Type="http://schemas.openxmlformats.org/officeDocument/2006/relationships/hyperlink" Target="#Production!A1"/><Relationship Id="rId7" Type="http://schemas.openxmlformats.org/officeDocument/2006/relationships/image" Target="../media/image4.png"/><Relationship Id="rId12" Type="http://schemas.openxmlformats.org/officeDocument/2006/relationships/chart" Target="../charts/chart9.xml"/><Relationship Id="rId2" Type="http://schemas.openxmlformats.org/officeDocument/2006/relationships/hyperlink" Target="http://agrilife.tamu.edu" TargetMode="External"/><Relationship Id="rId1" Type="http://schemas.openxmlformats.org/officeDocument/2006/relationships/image" Target="../media/image1.png"/><Relationship Id="rId6" Type="http://schemas.openxmlformats.org/officeDocument/2006/relationships/hyperlink" Target="#Investment!A1"/><Relationship Id="rId11" Type="http://schemas.openxmlformats.org/officeDocument/2006/relationships/chart" Target="../charts/chart8.xml"/><Relationship Id="rId5" Type="http://schemas.openxmlformats.org/officeDocument/2006/relationships/hyperlink" Target="#Operations!A1"/><Relationship Id="rId10" Type="http://schemas.openxmlformats.org/officeDocument/2006/relationships/chart" Target="../charts/chart7.xml"/><Relationship Id="rId4" Type="http://schemas.openxmlformats.org/officeDocument/2006/relationships/hyperlink" Target="#Income!A1"/><Relationship Id="rId9"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image" Target="../media/image5.svg"/><Relationship Id="rId3" Type="http://schemas.openxmlformats.org/officeDocument/2006/relationships/hyperlink" Target="#Production!A1"/><Relationship Id="rId7" Type="http://schemas.openxmlformats.org/officeDocument/2006/relationships/image" Target="../media/image4.png"/><Relationship Id="rId2" Type="http://schemas.openxmlformats.org/officeDocument/2006/relationships/hyperlink" Target="http://agrilife.tamu.edu" TargetMode="External"/><Relationship Id="rId1" Type="http://schemas.openxmlformats.org/officeDocument/2006/relationships/image" Target="../media/image1.png"/><Relationship Id="rId6" Type="http://schemas.openxmlformats.org/officeDocument/2006/relationships/hyperlink" Target="#Investment!A1"/><Relationship Id="rId5" Type="http://schemas.openxmlformats.org/officeDocument/2006/relationships/hyperlink" Target="#Operations!A1"/><Relationship Id="rId10" Type="http://schemas.openxmlformats.org/officeDocument/2006/relationships/chart" Target="../charts/chart12.xml"/><Relationship Id="rId4" Type="http://schemas.openxmlformats.org/officeDocument/2006/relationships/hyperlink" Target="#Income!A1"/><Relationship Id="rId9"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8" Type="http://schemas.openxmlformats.org/officeDocument/2006/relationships/image" Target="../media/image5.svg"/><Relationship Id="rId3" Type="http://schemas.openxmlformats.org/officeDocument/2006/relationships/hyperlink" Target="#Production!A1"/><Relationship Id="rId7" Type="http://schemas.openxmlformats.org/officeDocument/2006/relationships/image" Target="../media/image4.png"/><Relationship Id="rId2" Type="http://schemas.openxmlformats.org/officeDocument/2006/relationships/hyperlink" Target="http://agrilife.tamu.edu" TargetMode="External"/><Relationship Id="rId1" Type="http://schemas.openxmlformats.org/officeDocument/2006/relationships/image" Target="../media/image1.png"/><Relationship Id="rId6" Type="http://schemas.openxmlformats.org/officeDocument/2006/relationships/hyperlink" Target="#Investment!A1"/><Relationship Id="rId11" Type="http://schemas.openxmlformats.org/officeDocument/2006/relationships/chart" Target="../charts/chart15.xml"/><Relationship Id="rId5" Type="http://schemas.openxmlformats.org/officeDocument/2006/relationships/hyperlink" Target="#Operations!A1"/><Relationship Id="rId10" Type="http://schemas.openxmlformats.org/officeDocument/2006/relationships/chart" Target="../charts/chart14.xml"/><Relationship Id="rId4" Type="http://schemas.openxmlformats.org/officeDocument/2006/relationships/hyperlink" Target="#Income!A1"/><Relationship Id="rId9"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7</xdr:col>
      <xdr:colOff>455789</xdr:colOff>
      <xdr:row>11</xdr:row>
      <xdr:rowOff>21168</xdr:rowOff>
    </xdr:from>
    <xdr:to>
      <xdr:col>16</xdr:col>
      <xdr:colOff>430389</xdr:colOff>
      <xdr:row>41</xdr:row>
      <xdr:rowOff>38101</xdr:rowOff>
    </xdr:to>
    <xdr:grpSp>
      <xdr:nvGrpSpPr>
        <xdr:cNvPr id="299" name="Group 298">
          <a:extLst>
            <a:ext uri="{FF2B5EF4-FFF2-40B4-BE49-F238E27FC236}">
              <a16:creationId xmlns:a16="http://schemas.microsoft.com/office/drawing/2014/main" id="{8E9F69F9-938F-B369-A7BC-6106C3A49940}"/>
            </a:ext>
          </a:extLst>
        </xdr:cNvPr>
        <xdr:cNvGrpSpPr/>
      </xdr:nvGrpSpPr>
      <xdr:grpSpPr>
        <a:xfrm>
          <a:off x="5180189" y="2250018"/>
          <a:ext cx="5886450" cy="6017683"/>
          <a:chOff x="5098345" y="2222501"/>
          <a:chExt cx="5943600" cy="5943600"/>
        </a:xfrm>
      </xdr:grpSpPr>
      <xdr:sp macro="" textlink="">
        <xdr:nvSpPr>
          <xdr:cNvPr id="297" name="Flowchart: Connector 296">
            <a:extLst>
              <a:ext uri="{FF2B5EF4-FFF2-40B4-BE49-F238E27FC236}">
                <a16:creationId xmlns:a16="http://schemas.microsoft.com/office/drawing/2014/main" id="{4B676DA8-270D-F7B5-4C83-20BCA00B37D2}"/>
              </a:ext>
            </a:extLst>
          </xdr:cNvPr>
          <xdr:cNvSpPr/>
        </xdr:nvSpPr>
        <xdr:spPr>
          <a:xfrm>
            <a:off x="6012745" y="3136901"/>
            <a:ext cx="4114800" cy="4114800"/>
          </a:xfrm>
          <a:prstGeom prst="flowChartConnector">
            <a:avLst/>
          </a:prstGeom>
          <a:noFill/>
          <a:ln>
            <a:solidFill>
              <a:schemeClr val="bg2">
                <a:lumMod val="1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8" name="Flowchart: Connector 297">
            <a:extLst>
              <a:ext uri="{FF2B5EF4-FFF2-40B4-BE49-F238E27FC236}">
                <a16:creationId xmlns:a16="http://schemas.microsoft.com/office/drawing/2014/main" id="{7F67DF8A-3478-4F62-908F-2CF8F1C8F96D}"/>
              </a:ext>
            </a:extLst>
          </xdr:cNvPr>
          <xdr:cNvSpPr/>
        </xdr:nvSpPr>
        <xdr:spPr>
          <a:xfrm>
            <a:off x="5098345" y="2222501"/>
            <a:ext cx="5943600" cy="5943600"/>
          </a:xfrm>
          <a:prstGeom prst="flowChartConnector">
            <a:avLst/>
          </a:prstGeom>
          <a:noFill/>
          <a:ln>
            <a:solidFill>
              <a:schemeClr val="bg2">
                <a:lumMod val="1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12</xdr:col>
      <xdr:colOff>465667</xdr:colOff>
      <xdr:row>6</xdr:row>
      <xdr:rowOff>118533</xdr:rowOff>
    </xdr:from>
    <xdr:to>
      <xdr:col>14</xdr:col>
      <xdr:colOff>102596</xdr:colOff>
      <xdr:row>9</xdr:row>
      <xdr:rowOff>160272</xdr:rowOff>
    </xdr:to>
    <xdr:grpSp>
      <xdr:nvGrpSpPr>
        <xdr:cNvPr id="134" name="Group 133">
          <a:extLst>
            <a:ext uri="{FF2B5EF4-FFF2-40B4-BE49-F238E27FC236}">
              <a16:creationId xmlns:a16="http://schemas.microsoft.com/office/drawing/2014/main" id="{50626941-908B-7AB7-2794-1058F6A90EB1}"/>
            </a:ext>
          </a:extLst>
        </xdr:cNvPr>
        <xdr:cNvGrpSpPr/>
      </xdr:nvGrpSpPr>
      <xdr:grpSpPr>
        <a:xfrm>
          <a:off x="8479367" y="1321858"/>
          <a:ext cx="951379" cy="641814"/>
          <a:chOff x="0" y="0"/>
          <a:chExt cx="938440" cy="599755"/>
        </a:xfrm>
      </xdr:grpSpPr>
      <xdr:cxnSp macro="">
        <xdr:nvCxnSpPr>
          <xdr:cNvPr id="135" name="Straight Connector 134">
            <a:extLst>
              <a:ext uri="{FF2B5EF4-FFF2-40B4-BE49-F238E27FC236}">
                <a16:creationId xmlns:a16="http://schemas.microsoft.com/office/drawing/2014/main" id="{4CB40138-4A20-90D6-C6D0-FE7D40F2A058}"/>
              </a:ext>
            </a:extLst>
          </xdr:cNvPr>
          <xdr:cNvCxnSpPr/>
        </xdr:nvCxnSpPr>
        <xdr:spPr>
          <a:xfrm flipH="1">
            <a:off x="0" y="261061"/>
            <a:ext cx="571577" cy="338694"/>
          </a:xfrm>
          <a:prstGeom prst="line">
            <a:avLst/>
          </a:prstGeom>
          <a:ln w="15875">
            <a:gradFill>
              <a:gsLst>
                <a:gs pos="26000">
                  <a:srgbClr val="98F8F2"/>
                </a:gs>
                <a:gs pos="65000">
                  <a:srgbClr val="0A0D80"/>
                </a:gs>
              </a:gsLst>
              <a:lin ang="5400000" scaled="1"/>
            </a:gradFill>
            <a:tailEnd w="med" len="lg"/>
          </a:ln>
        </xdr:spPr>
        <xdr:style>
          <a:lnRef idx="1">
            <a:schemeClr val="accent1"/>
          </a:lnRef>
          <a:fillRef idx="0">
            <a:schemeClr val="accent1"/>
          </a:fillRef>
          <a:effectRef idx="0">
            <a:schemeClr val="accent1"/>
          </a:effectRef>
          <a:fontRef idx="minor">
            <a:schemeClr val="tx1"/>
          </a:fontRef>
        </xdr:style>
      </xdr:cxnSp>
      <xdr:sp macro="" textlink="">
        <xdr:nvSpPr>
          <xdr:cNvPr id="136" name="Circle: Hollow 135">
            <a:extLst>
              <a:ext uri="{FF2B5EF4-FFF2-40B4-BE49-F238E27FC236}">
                <a16:creationId xmlns:a16="http://schemas.microsoft.com/office/drawing/2014/main" id="{F72E6B99-2FB7-1027-08E6-E1AD61EFB92A}"/>
              </a:ext>
            </a:extLst>
          </xdr:cNvPr>
          <xdr:cNvSpPr/>
        </xdr:nvSpPr>
        <xdr:spPr>
          <a:xfrm>
            <a:off x="529187" y="0"/>
            <a:ext cx="409253" cy="388053"/>
          </a:xfrm>
          <a:prstGeom prst="donut">
            <a:avLst>
              <a:gd name="adj" fmla="val 6724"/>
            </a:avLst>
          </a:prstGeom>
          <a:solidFill>
            <a:srgbClr val="98F8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xdr:from>
      <xdr:col>15</xdr:col>
      <xdr:colOff>110067</xdr:colOff>
      <xdr:row>14</xdr:row>
      <xdr:rowOff>33867</xdr:rowOff>
    </xdr:from>
    <xdr:to>
      <xdr:col>16</xdr:col>
      <xdr:colOff>407397</xdr:colOff>
      <xdr:row>17</xdr:row>
      <xdr:rowOff>75607</xdr:rowOff>
    </xdr:to>
    <xdr:grpSp>
      <xdr:nvGrpSpPr>
        <xdr:cNvPr id="138" name="Group 137">
          <a:extLst>
            <a:ext uri="{FF2B5EF4-FFF2-40B4-BE49-F238E27FC236}">
              <a16:creationId xmlns:a16="http://schemas.microsoft.com/office/drawing/2014/main" id="{D83F4B26-2756-225B-8BB4-558D326DA41D}"/>
            </a:ext>
          </a:extLst>
        </xdr:cNvPr>
        <xdr:cNvGrpSpPr/>
      </xdr:nvGrpSpPr>
      <xdr:grpSpPr>
        <a:xfrm>
          <a:off x="10089092" y="2859617"/>
          <a:ext cx="960905" cy="644990"/>
          <a:chOff x="0" y="0"/>
          <a:chExt cx="938440" cy="599755"/>
        </a:xfrm>
      </xdr:grpSpPr>
      <xdr:cxnSp macro="">
        <xdr:nvCxnSpPr>
          <xdr:cNvPr id="139" name="Straight Connector 138">
            <a:extLst>
              <a:ext uri="{FF2B5EF4-FFF2-40B4-BE49-F238E27FC236}">
                <a16:creationId xmlns:a16="http://schemas.microsoft.com/office/drawing/2014/main" id="{C992963C-D8F7-3AB0-25EE-6FA95EC15658}"/>
              </a:ext>
            </a:extLst>
          </xdr:cNvPr>
          <xdr:cNvCxnSpPr/>
        </xdr:nvCxnSpPr>
        <xdr:spPr>
          <a:xfrm flipH="1">
            <a:off x="0" y="261061"/>
            <a:ext cx="571577" cy="338694"/>
          </a:xfrm>
          <a:prstGeom prst="line">
            <a:avLst/>
          </a:prstGeom>
          <a:ln w="15875">
            <a:gradFill>
              <a:gsLst>
                <a:gs pos="26000">
                  <a:srgbClr val="98F8F2"/>
                </a:gs>
                <a:gs pos="65000">
                  <a:srgbClr val="0A0D80"/>
                </a:gs>
              </a:gsLst>
              <a:lin ang="5400000" scaled="1"/>
            </a:gradFill>
            <a:tailEnd w="med" len="lg"/>
          </a:ln>
        </xdr:spPr>
        <xdr:style>
          <a:lnRef idx="1">
            <a:schemeClr val="accent1"/>
          </a:lnRef>
          <a:fillRef idx="0">
            <a:schemeClr val="accent1"/>
          </a:fillRef>
          <a:effectRef idx="0">
            <a:schemeClr val="accent1"/>
          </a:effectRef>
          <a:fontRef idx="minor">
            <a:schemeClr val="tx1"/>
          </a:fontRef>
        </xdr:style>
      </xdr:cxnSp>
      <xdr:sp macro="" textlink="">
        <xdr:nvSpPr>
          <xdr:cNvPr id="140" name="Circle: Hollow 139">
            <a:extLst>
              <a:ext uri="{FF2B5EF4-FFF2-40B4-BE49-F238E27FC236}">
                <a16:creationId xmlns:a16="http://schemas.microsoft.com/office/drawing/2014/main" id="{2C5136A5-632E-9CC3-DE87-CAD1A90AEDEA}"/>
              </a:ext>
            </a:extLst>
          </xdr:cNvPr>
          <xdr:cNvSpPr/>
        </xdr:nvSpPr>
        <xdr:spPr>
          <a:xfrm>
            <a:off x="529187" y="0"/>
            <a:ext cx="409253" cy="388053"/>
          </a:xfrm>
          <a:prstGeom prst="donut">
            <a:avLst>
              <a:gd name="adj" fmla="val 6724"/>
            </a:avLst>
          </a:prstGeom>
          <a:solidFill>
            <a:srgbClr val="98F8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xdr:from>
      <xdr:col>8</xdr:col>
      <xdr:colOff>220491</xdr:colOff>
      <xdr:row>9</xdr:row>
      <xdr:rowOff>124462</xdr:rowOff>
    </xdr:from>
    <xdr:to>
      <xdr:col>9</xdr:col>
      <xdr:colOff>292093</xdr:colOff>
      <xdr:row>13</xdr:row>
      <xdr:rowOff>170272</xdr:rowOff>
    </xdr:to>
    <xdr:grpSp>
      <xdr:nvGrpSpPr>
        <xdr:cNvPr id="142" name="Group 141">
          <a:extLst>
            <a:ext uri="{FF2B5EF4-FFF2-40B4-BE49-F238E27FC236}">
              <a16:creationId xmlns:a16="http://schemas.microsoft.com/office/drawing/2014/main" id="{A1A54D12-7552-B0CB-E25D-C114690E2B9A}"/>
            </a:ext>
          </a:extLst>
        </xdr:cNvPr>
        <xdr:cNvGrpSpPr/>
      </xdr:nvGrpSpPr>
      <xdr:grpSpPr>
        <a:xfrm rot="14481909">
          <a:off x="5527700" y="1992753"/>
          <a:ext cx="877660" cy="735177"/>
          <a:chOff x="-75922" y="189407"/>
          <a:chExt cx="824955" cy="720576"/>
        </a:xfrm>
      </xdr:grpSpPr>
      <xdr:cxnSp macro="">
        <xdr:nvCxnSpPr>
          <xdr:cNvPr id="143" name="Straight Connector 142">
            <a:extLst>
              <a:ext uri="{FF2B5EF4-FFF2-40B4-BE49-F238E27FC236}">
                <a16:creationId xmlns:a16="http://schemas.microsoft.com/office/drawing/2014/main" id="{34069427-E613-0E5D-11B7-EB70D25818E5}"/>
              </a:ext>
            </a:extLst>
          </xdr:cNvPr>
          <xdr:cNvCxnSpPr/>
        </xdr:nvCxnSpPr>
        <xdr:spPr>
          <a:xfrm rot="7118091">
            <a:off x="-193787" y="447511"/>
            <a:ext cx="580337" cy="344607"/>
          </a:xfrm>
          <a:prstGeom prst="line">
            <a:avLst/>
          </a:prstGeom>
          <a:ln w="15875">
            <a:gradFill>
              <a:gsLst>
                <a:gs pos="26000">
                  <a:srgbClr val="98F8F2"/>
                </a:gs>
                <a:gs pos="65000">
                  <a:srgbClr val="0A0D80"/>
                </a:gs>
              </a:gsLst>
              <a:lin ang="5400000" scaled="1"/>
            </a:gradFill>
            <a:tailEnd w="med" len="lg"/>
          </a:ln>
        </xdr:spPr>
        <xdr:style>
          <a:lnRef idx="1">
            <a:schemeClr val="accent1"/>
          </a:lnRef>
          <a:fillRef idx="0">
            <a:schemeClr val="accent1"/>
          </a:fillRef>
          <a:effectRef idx="0">
            <a:schemeClr val="accent1"/>
          </a:effectRef>
          <a:fontRef idx="minor">
            <a:schemeClr val="tx1"/>
          </a:fontRef>
        </xdr:style>
      </xdr:cxnSp>
      <xdr:sp macro="" textlink="">
        <xdr:nvSpPr>
          <xdr:cNvPr id="144" name="Circle: Hollow 143">
            <a:extLst>
              <a:ext uri="{FF2B5EF4-FFF2-40B4-BE49-F238E27FC236}">
                <a16:creationId xmlns:a16="http://schemas.microsoft.com/office/drawing/2014/main" id="{DADCD58C-6A9D-D054-345B-86721FB3EA9B}"/>
              </a:ext>
            </a:extLst>
          </xdr:cNvPr>
          <xdr:cNvSpPr/>
        </xdr:nvSpPr>
        <xdr:spPr>
          <a:xfrm>
            <a:off x="339780" y="189407"/>
            <a:ext cx="409253" cy="388053"/>
          </a:xfrm>
          <a:prstGeom prst="donut">
            <a:avLst>
              <a:gd name="adj" fmla="val 6724"/>
            </a:avLst>
          </a:prstGeom>
          <a:solidFill>
            <a:srgbClr val="98F8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xdr:from>
      <xdr:col>6</xdr:col>
      <xdr:colOff>444919</xdr:colOff>
      <xdr:row>23</xdr:row>
      <xdr:rowOff>154712</xdr:rowOff>
    </xdr:from>
    <xdr:to>
      <xdr:col>7</xdr:col>
      <xdr:colOff>499526</xdr:colOff>
      <xdr:row>28</xdr:row>
      <xdr:rowOff>64604</xdr:rowOff>
    </xdr:to>
    <xdr:grpSp>
      <xdr:nvGrpSpPr>
        <xdr:cNvPr id="146" name="Group 145">
          <a:extLst>
            <a:ext uri="{FF2B5EF4-FFF2-40B4-BE49-F238E27FC236}">
              <a16:creationId xmlns:a16="http://schemas.microsoft.com/office/drawing/2014/main" id="{D2797D7C-F63C-A10D-F1A7-0C4D8758419E}"/>
            </a:ext>
          </a:extLst>
        </xdr:cNvPr>
        <xdr:cNvGrpSpPr/>
      </xdr:nvGrpSpPr>
      <xdr:grpSpPr>
        <a:xfrm rot="14779683">
          <a:off x="4414589" y="4884542"/>
          <a:ext cx="913192" cy="711832"/>
          <a:chOff x="-99586" y="189421"/>
          <a:chExt cx="848605" cy="704095"/>
        </a:xfrm>
      </xdr:grpSpPr>
      <xdr:cxnSp macro="">
        <xdr:nvCxnSpPr>
          <xdr:cNvPr id="147" name="Straight Connector 146">
            <a:extLst>
              <a:ext uri="{FF2B5EF4-FFF2-40B4-BE49-F238E27FC236}">
                <a16:creationId xmlns:a16="http://schemas.microsoft.com/office/drawing/2014/main" id="{17F0A8DE-771D-7EBE-78B7-C58AB4D02CE8}"/>
              </a:ext>
            </a:extLst>
          </xdr:cNvPr>
          <xdr:cNvCxnSpPr/>
        </xdr:nvCxnSpPr>
        <xdr:spPr>
          <a:xfrm rot="6820317">
            <a:off x="-177319" y="423874"/>
            <a:ext cx="547375" cy="391909"/>
          </a:xfrm>
          <a:prstGeom prst="line">
            <a:avLst/>
          </a:prstGeom>
          <a:ln w="15875">
            <a:gradFill>
              <a:gsLst>
                <a:gs pos="26000">
                  <a:srgbClr val="98F8F2"/>
                </a:gs>
                <a:gs pos="65000">
                  <a:srgbClr val="0A0D80"/>
                </a:gs>
              </a:gsLst>
              <a:lin ang="5400000" scaled="1"/>
            </a:gradFill>
            <a:tailEnd w="med" len="lg"/>
          </a:ln>
        </xdr:spPr>
        <xdr:style>
          <a:lnRef idx="1">
            <a:schemeClr val="accent1"/>
          </a:lnRef>
          <a:fillRef idx="0">
            <a:schemeClr val="accent1"/>
          </a:fillRef>
          <a:effectRef idx="0">
            <a:schemeClr val="accent1"/>
          </a:effectRef>
          <a:fontRef idx="minor">
            <a:schemeClr val="tx1"/>
          </a:fontRef>
        </xdr:style>
      </xdr:cxnSp>
      <xdr:sp macro="" textlink="">
        <xdr:nvSpPr>
          <xdr:cNvPr id="148" name="Circle: Hollow 147">
            <a:extLst>
              <a:ext uri="{FF2B5EF4-FFF2-40B4-BE49-F238E27FC236}">
                <a16:creationId xmlns:a16="http://schemas.microsoft.com/office/drawing/2014/main" id="{85F1B129-4BC8-CFF1-F068-729D3DFAFAFB}"/>
              </a:ext>
            </a:extLst>
          </xdr:cNvPr>
          <xdr:cNvSpPr/>
        </xdr:nvSpPr>
        <xdr:spPr>
          <a:xfrm>
            <a:off x="339766" y="189421"/>
            <a:ext cx="409253" cy="388053"/>
          </a:xfrm>
          <a:prstGeom prst="donut">
            <a:avLst>
              <a:gd name="adj" fmla="val 6724"/>
            </a:avLst>
          </a:prstGeom>
          <a:solidFill>
            <a:srgbClr val="98F8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xdr:from>
      <xdr:col>17</xdr:col>
      <xdr:colOff>270933</xdr:colOff>
      <xdr:row>25</xdr:row>
      <xdr:rowOff>67733</xdr:rowOff>
    </xdr:from>
    <xdr:to>
      <xdr:col>18</xdr:col>
      <xdr:colOff>568263</xdr:colOff>
      <xdr:row>28</xdr:row>
      <xdr:rowOff>109548</xdr:rowOff>
    </xdr:to>
    <xdr:grpSp>
      <xdr:nvGrpSpPr>
        <xdr:cNvPr id="150" name="Group 149">
          <a:extLst>
            <a:ext uri="{FF2B5EF4-FFF2-40B4-BE49-F238E27FC236}">
              <a16:creationId xmlns:a16="http://schemas.microsoft.com/office/drawing/2014/main" id="{F8E61A6C-5915-60A3-A968-DE9FA872EDED}"/>
            </a:ext>
          </a:extLst>
        </xdr:cNvPr>
        <xdr:cNvGrpSpPr/>
      </xdr:nvGrpSpPr>
      <xdr:grpSpPr>
        <a:xfrm>
          <a:off x="11570758" y="5093758"/>
          <a:ext cx="948205" cy="641890"/>
          <a:chOff x="0" y="0"/>
          <a:chExt cx="938440" cy="599755"/>
        </a:xfrm>
      </xdr:grpSpPr>
      <xdr:cxnSp macro="">
        <xdr:nvCxnSpPr>
          <xdr:cNvPr id="151" name="Straight Connector 150">
            <a:extLst>
              <a:ext uri="{FF2B5EF4-FFF2-40B4-BE49-F238E27FC236}">
                <a16:creationId xmlns:a16="http://schemas.microsoft.com/office/drawing/2014/main" id="{EF8BD7E8-B1F8-3AF2-97B6-A9E6080CCC1A}"/>
              </a:ext>
            </a:extLst>
          </xdr:cNvPr>
          <xdr:cNvCxnSpPr/>
        </xdr:nvCxnSpPr>
        <xdr:spPr>
          <a:xfrm flipH="1">
            <a:off x="0" y="261061"/>
            <a:ext cx="571577" cy="338694"/>
          </a:xfrm>
          <a:prstGeom prst="line">
            <a:avLst/>
          </a:prstGeom>
          <a:ln w="15875">
            <a:gradFill>
              <a:gsLst>
                <a:gs pos="26000">
                  <a:srgbClr val="98F8F2"/>
                </a:gs>
                <a:gs pos="65000">
                  <a:srgbClr val="0A0D80"/>
                </a:gs>
              </a:gsLst>
              <a:lin ang="5400000" scaled="1"/>
            </a:gradFill>
            <a:tailEnd w="med" len="lg"/>
          </a:ln>
        </xdr:spPr>
        <xdr:style>
          <a:lnRef idx="1">
            <a:schemeClr val="accent1"/>
          </a:lnRef>
          <a:fillRef idx="0">
            <a:schemeClr val="accent1"/>
          </a:fillRef>
          <a:effectRef idx="0">
            <a:schemeClr val="accent1"/>
          </a:effectRef>
          <a:fontRef idx="minor">
            <a:schemeClr val="tx1"/>
          </a:fontRef>
        </xdr:style>
      </xdr:cxnSp>
      <xdr:sp macro="" textlink="">
        <xdr:nvSpPr>
          <xdr:cNvPr id="152" name="Circle: Hollow 151">
            <a:extLst>
              <a:ext uri="{FF2B5EF4-FFF2-40B4-BE49-F238E27FC236}">
                <a16:creationId xmlns:a16="http://schemas.microsoft.com/office/drawing/2014/main" id="{90E8EA8F-AF5E-ADA0-5324-3ECD2D5E734A}"/>
              </a:ext>
            </a:extLst>
          </xdr:cNvPr>
          <xdr:cNvSpPr/>
        </xdr:nvSpPr>
        <xdr:spPr>
          <a:xfrm>
            <a:off x="529187" y="0"/>
            <a:ext cx="409253" cy="388053"/>
          </a:xfrm>
          <a:prstGeom prst="donut">
            <a:avLst>
              <a:gd name="adj" fmla="val 6724"/>
            </a:avLst>
          </a:prstGeom>
          <a:solidFill>
            <a:srgbClr val="98F8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xdr:from>
      <xdr:col>10</xdr:col>
      <xdr:colOff>595211</xdr:colOff>
      <xdr:row>33</xdr:row>
      <xdr:rowOff>170367</xdr:rowOff>
    </xdr:from>
    <xdr:to>
      <xdr:col>11</xdr:col>
      <xdr:colOff>648277</xdr:colOff>
      <xdr:row>38</xdr:row>
      <xdr:rowOff>71393</xdr:rowOff>
    </xdr:to>
    <xdr:grpSp>
      <xdr:nvGrpSpPr>
        <xdr:cNvPr id="154" name="Group 153">
          <a:extLst>
            <a:ext uri="{FF2B5EF4-FFF2-40B4-BE49-F238E27FC236}">
              <a16:creationId xmlns:a16="http://schemas.microsoft.com/office/drawing/2014/main" id="{891713D3-B4B6-B4EC-C690-02F1D29B6A70}"/>
            </a:ext>
          </a:extLst>
        </xdr:cNvPr>
        <xdr:cNvGrpSpPr/>
      </xdr:nvGrpSpPr>
      <xdr:grpSpPr>
        <a:xfrm rot="13570904">
          <a:off x="7199031" y="6895197"/>
          <a:ext cx="897976" cy="707116"/>
          <a:chOff x="78368" y="0"/>
          <a:chExt cx="860072" cy="685086"/>
        </a:xfrm>
      </xdr:grpSpPr>
      <xdr:cxnSp macro="">
        <xdr:nvCxnSpPr>
          <xdr:cNvPr id="155" name="Straight Connector 154">
            <a:extLst>
              <a:ext uri="{FF2B5EF4-FFF2-40B4-BE49-F238E27FC236}">
                <a16:creationId xmlns:a16="http://schemas.microsoft.com/office/drawing/2014/main" id="{129A3046-F3B3-A84D-B15A-8BCCBFF2BBAF}"/>
              </a:ext>
            </a:extLst>
          </xdr:cNvPr>
          <xdr:cNvCxnSpPr/>
        </xdr:nvCxnSpPr>
        <xdr:spPr>
          <a:xfrm rot="12016610" flipV="1">
            <a:off x="78368" y="175728"/>
            <a:ext cx="414842" cy="509358"/>
          </a:xfrm>
          <a:prstGeom prst="line">
            <a:avLst/>
          </a:prstGeom>
          <a:ln w="15875">
            <a:gradFill>
              <a:gsLst>
                <a:gs pos="26000">
                  <a:srgbClr val="98F8F2"/>
                </a:gs>
                <a:gs pos="65000">
                  <a:srgbClr val="0A0D80"/>
                </a:gs>
              </a:gsLst>
              <a:lin ang="5400000" scaled="1"/>
            </a:gradFill>
            <a:tailEnd w="med" len="lg"/>
          </a:ln>
        </xdr:spPr>
        <xdr:style>
          <a:lnRef idx="1">
            <a:schemeClr val="accent1"/>
          </a:lnRef>
          <a:fillRef idx="0">
            <a:schemeClr val="accent1"/>
          </a:fillRef>
          <a:effectRef idx="0">
            <a:schemeClr val="accent1"/>
          </a:effectRef>
          <a:fontRef idx="minor">
            <a:schemeClr val="tx1"/>
          </a:fontRef>
        </xdr:style>
      </xdr:cxnSp>
      <xdr:sp macro="" textlink="">
        <xdr:nvSpPr>
          <xdr:cNvPr id="156" name="Circle: Hollow 155">
            <a:extLst>
              <a:ext uri="{FF2B5EF4-FFF2-40B4-BE49-F238E27FC236}">
                <a16:creationId xmlns:a16="http://schemas.microsoft.com/office/drawing/2014/main" id="{0E00863D-11F8-B9E4-8C7A-989C2BFA765B}"/>
              </a:ext>
            </a:extLst>
          </xdr:cNvPr>
          <xdr:cNvSpPr/>
        </xdr:nvSpPr>
        <xdr:spPr>
          <a:xfrm>
            <a:off x="529187" y="0"/>
            <a:ext cx="409253" cy="388053"/>
          </a:xfrm>
          <a:prstGeom prst="donut">
            <a:avLst>
              <a:gd name="adj" fmla="val 6724"/>
            </a:avLst>
          </a:prstGeom>
          <a:solidFill>
            <a:srgbClr val="98F8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4</xdr:col>
      <xdr:colOff>164431</xdr:colOff>
      <xdr:row>6</xdr:row>
      <xdr:rowOff>39073</xdr:rowOff>
    </xdr:from>
    <xdr:to>
      <xdr:col>20</xdr:col>
      <xdr:colOff>130703</xdr:colOff>
      <xdr:row>44</xdr:row>
      <xdr:rowOff>141326</xdr:rowOff>
    </xdr:to>
    <xdr:graphicFrame macro="">
      <xdr:nvGraphicFramePr>
        <xdr:cNvPr id="28" name="Chart 27">
          <a:extLst>
            <a:ext uri="{FF2B5EF4-FFF2-40B4-BE49-F238E27FC236}">
              <a16:creationId xmlns:a16="http://schemas.microsoft.com/office/drawing/2014/main" id="{9B322CFF-30F6-4325-83E4-002F530006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197555</xdr:colOff>
      <xdr:row>16</xdr:row>
      <xdr:rowOff>56445</xdr:rowOff>
    </xdr:from>
    <xdr:to>
      <xdr:col>15</xdr:col>
      <xdr:colOff>91723</xdr:colOff>
      <xdr:row>35</xdr:row>
      <xdr:rowOff>141111</xdr:rowOff>
    </xdr:to>
    <xdr:graphicFrame macro="">
      <xdr:nvGraphicFramePr>
        <xdr:cNvPr id="84" name="Chart 83">
          <a:extLst>
            <a:ext uri="{FF2B5EF4-FFF2-40B4-BE49-F238E27FC236}">
              <a16:creationId xmlns:a16="http://schemas.microsoft.com/office/drawing/2014/main" id="{925A48B5-2EFB-49DC-87E0-2DFB30BB87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0</xdr:row>
      <xdr:rowOff>0</xdr:rowOff>
    </xdr:from>
    <xdr:to>
      <xdr:col>26</xdr:col>
      <xdr:colOff>26444</xdr:colOff>
      <xdr:row>2</xdr:row>
      <xdr:rowOff>91981</xdr:rowOff>
    </xdr:to>
    <xdr:grpSp>
      <xdr:nvGrpSpPr>
        <xdr:cNvPr id="19" name="Group 18">
          <a:extLst>
            <a:ext uri="{FF2B5EF4-FFF2-40B4-BE49-F238E27FC236}">
              <a16:creationId xmlns:a16="http://schemas.microsoft.com/office/drawing/2014/main" id="{BD2FB6C5-6701-BEE8-BB79-0F51B780D1D1}"/>
            </a:ext>
          </a:extLst>
        </xdr:cNvPr>
        <xdr:cNvGrpSpPr/>
      </xdr:nvGrpSpPr>
      <xdr:grpSpPr>
        <a:xfrm>
          <a:off x="1" y="0"/>
          <a:ext cx="17241293" cy="488856"/>
          <a:chOff x="1" y="1"/>
          <a:chExt cx="17270221" cy="487092"/>
        </a:xfrm>
      </xdr:grpSpPr>
      <xdr:sp macro="" textlink="">
        <xdr:nvSpPr>
          <xdr:cNvPr id="2" name="Rectangle 1">
            <a:extLst>
              <a:ext uri="{FF2B5EF4-FFF2-40B4-BE49-F238E27FC236}">
                <a16:creationId xmlns:a16="http://schemas.microsoft.com/office/drawing/2014/main" id="{1EFB589C-EB44-47B7-851A-4215CF73F6F9}"/>
              </a:ext>
            </a:extLst>
          </xdr:cNvPr>
          <xdr:cNvSpPr/>
        </xdr:nvSpPr>
        <xdr:spPr>
          <a:xfrm>
            <a:off x="6350" y="50799"/>
            <a:ext cx="17263872" cy="393192"/>
          </a:xfrm>
          <a:prstGeom prst="rect">
            <a:avLst/>
          </a:prstGeom>
          <a:solidFill>
            <a:srgbClr val="10103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3">
            <a:extLst>
              <a:ext uri="{FF2B5EF4-FFF2-40B4-BE49-F238E27FC236}">
                <a16:creationId xmlns:a16="http://schemas.microsoft.com/office/drawing/2014/main" id="{B04B2161-9FBC-78DC-EE7F-D01B23059F6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 y="1"/>
            <a:ext cx="1051278" cy="487092"/>
          </a:xfrm>
          <a:prstGeom prst="rect">
            <a:avLst/>
          </a:prstGeom>
        </xdr:spPr>
      </xdr:pic>
      <xdr:sp macro="" textlink="">
        <xdr:nvSpPr>
          <xdr:cNvPr id="5" name="TextBox 4">
            <a:extLst>
              <a:ext uri="{FF2B5EF4-FFF2-40B4-BE49-F238E27FC236}">
                <a16:creationId xmlns:a16="http://schemas.microsoft.com/office/drawing/2014/main" id="{52A21267-455E-F613-EB82-65526720C6FC}"/>
              </a:ext>
            </a:extLst>
          </xdr:cNvPr>
          <xdr:cNvSpPr txBox="1"/>
        </xdr:nvSpPr>
        <xdr:spPr>
          <a:xfrm>
            <a:off x="2102559" y="42332"/>
            <a:ext cx="2561166" cy="3668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1"/>
                </a:solidFill>
                <a:latin typeface="Avenir"/>
              </a:rPr>
              <a:t>FEEDLOT ECONOMICS</a:t>
            </a:r>
          </a:p>
        </xdr:txBody>
      </xdr:sp>
      <xdr:sp macro="" textlink="">
        <xdr:nvSpPr>
          <xdr:cNvPr id="6" name="TextBox 5">
            <a:hlinkClick xmlns:r="http://schemas.openxmlformats.org/officeDocument/2006/relationships" r:id="rId4" tooltip="http://agrilife.tamu.edu"/>
            <a:extLst>
              <a:ext uri="{FF2B5EF4-FFF2-40B4-BE49-F238E27FC236}">
                <a16:creationId xmlns:a16="http://schemas.microsoft.com/office/drawing/2014/main" id="{B16A00B4-5EA2-43B7-84A9-7EE47125643E}"/>
              </a:ext>
            </a:extLst>
          </xdr:cNvPr>
          <xdr:cNvSpPr txBox="1"/>
        </xdr:nvSpPr>
        <xdr:spPr>
          <a:xfrm>
            <a:off x="5771444" y="70556"/>
            <a:ext cx="1354666" cy="303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chemeClr val="bg1"/>
                </a:solidFill>
                <a:latin typeface="Avenir"/>
              </a:rPr>
              <a:t>Connect</a:t>
            </a:r>
          </a:p>
        </xdr:txBody>
      </xdr:sp>
      <xdr:sp macro="" textlink="">
        <xdr:nvSpPr>
          <xdr:cNvPr id="7" name="TextBox 6">
            <a:hlinkClick xmlns:r="http://schemas.openxmlformats.org/officeDocument/2006/relationships" r:id="rId5" tooltip="Production"/>
            <a:extLst>
              <a:ext uri="{FF2B5EF4-FFF2-40B4-BE49-F238E27FC236}">
                <a16:creationId xmlns:a16="http://schemas.microsoft.com/office/drawing/2014/main" id="{8093820E-0B65-4530-9BE8-86DF06070262}"/>
              </a:ext>
            </a:extLst>
          </xdr:cNvPr>
          <xdr:cNvSpPr txBox="1"/>
        </xdr:nvSpPr>
        <xdr:spPr>
          <a:xfrm>
            <a:off x="10301111" y="98072"/>
            <a:ext cx="1354666" cy="303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chemeClr val="bg1"/>
                </a:solidFill>
                <a:latin typeface="Avenir"/>
              </a:rPr>
              <a:t>Production</a:t>
            </a:r>
          </a:p>
        </xdr:txBody>
      </xdr:sp>
      <xdr:sp macro="" textlink="">
        <xdr:nvSpPr>
          <xdr:cNvPr id="8" name="TextBox 7">
            <a:hlinkClick xmlns:r="http://schemas.openxmlformats.org/officeDocument/2006/relationships" r:id="rId6" tooltip="Income"/>
            <a:extLst>
              <a:ext uri="{FF2B5EF4-FFF2-40B4-BE49-F238E27FC236}">
                <a16:creationId xmlns:a16="http://schemas.microsoft.com/office/drawing/2014/main" id="{1E8430DB-488E-4FC0-BD88-FD6434CAB7E1}"/>
              </a:ext>
            </a:extLst>
          </xdr:cNvPr>
          <xdr:cNvSpPr txBox="1"/>
        </xdr:nvSpPr>
        <xdr:spPr>
          <a:xfrm>
            <a:off x="11610622" y="98072"/>
            <a:ext cx="1354666" cy="303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chemeClr val="bg1"/>
                </a:solidFill>
                <a:latin typeface="Avenir"/>
              </a:rPr>
              <a:t>Income</a:t>
            </a:r>
          </a:p>
        </xdr:txBody>
      </xdr:sp>
      <xdr:sp macro="" textlink="">
        <xdr:nvSpPr>
          <xdr:cNvPr id="9" name="TextBox 8">
            <a:hlinkClick xmlns:r="http://schemas.openxmlformats.org/officeDocument/2006/relationships" r:id="rId7" tooltip="Operations"/>
            <a:extLst>
              <a:ext uri="{FF2B5EF4-FFF2-40B4-BE49-F238E27FC236}">
                <a16:creationId xmlns:a16="http://schemas.microsoft.com/office/drawing/2014/main" id="{630C5A39-5777-49C6-923B-DFA06491C636}"/>
              </a:ext>
            </a:extLst>
          </xdr:cNvPr>
          <xdr:cNvSpPr txBox="1"/>
        </xdr:nvSpPr>
        <xdr:spPr>
          <a:xfrm>
            <a:off x="12920133" y="98072"/>
            <a:ext cx="1354666" cy="303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chemeClr val="bg1"/>
                </a:solidFill>
                <a:latin typeface="Avenir"/>
              </a:rPr>
              <a:t>Operations</a:t>
            </a:r>
          </a:p>
        </xdr:txBody>
      </xdr:sp>
      <xdr:sp macro="" textlink="">
        <xdr:nvSpPr>
          <xdr:cNvPr id="10" name="TextBox 9">
            <a:hlinkClick xmlns:r="http://schemas.openxmlformats.org/officeDocument/2006/relationships" r:id="rId8" tooltip="Investment"/>
            <a:extLst>
              <a:ext uri="{FF2B5EF4-FFF2-40B4-BE49-F238E27FC236}">
                <a16:creationId xmlns:a16="http://schemas.microsoft.com/office/drawing/2014/main" id="{3C9B19D1-698E-4BDB-860D-B4EC90271C74}"/>
              </a:ext>
            </a:extLst>
          </xdr:cNvPr>
          <xdr:cNvSpPr txBox="1"/>
        </xdr:nvSpPr>
        <xdr:spPr>
          <a:xfrm>
            <a:off x="14229644" y="98072"/>
            <a:ext cx="1354666" cy="303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chemeClr val="bg1"/>
                </a:solidFill>
                <a:latin typeface="Avenir"/>
              </a:rPr>
              <a:t>Investment</a:t>
            </a:r>
          </a:p>
        </xdr:txBody>
      </xdr:sp>
      <xdr:grpSp>
        <xdr:nvGrpSpPr>
          <xdr:cNvPr id="13" name="Graphic 11" descr="Compass outline">
            <a:extLst>
              <a:ext uri="{FF2B5EF4-FFF2-40B4-BE49-F238E27FC236}">
                <a16:creationId xmlns:a16="http://schemas.microsoft.com/office/drawing/2014/main" id="{F09108BC-BE86-EE73-2F1C-715B8A9600DA}"/>
              </a:ext>
            </a:extLst>
          </xdr:cNvPr>
          <xdr:cNvGrpSpPr/>
        </xdr:nvGrpSpPr>
        <xdr:grpSpPr>
          <a:xfrm>
            <a:off x="5874456" y="77611"/>
            <a:ext cx="270933" cy="261056"/>
            <a:chOff x="5458178" y="1140178"/>
            <a:chExt cx="609600" cy="609600"/>
          </a:xfrm>
          <a:solidFill>
            <a:srgbClr val="000000"/>
          </a:solidFill>
        </xdr:grpSpPr>
        <xdr:sp macro="" textlink="">
          <xdr:nvSpPr>
            <xdr:cNvPr id="15" name="Freeform: Shape 14">
              <a:extLst>
                <a:ext uri="{FF2B5EF4-FFF2-40B4-BE49-F238E27FC236}">
                  <a16:creationId xmlns:a16="http://schemas.microsoft.com/office/drawing/2014/main" id="{DA0AA68A-EDD7-5D1C-B607-57C1AB2A07A3}"/>
                </a:ext>
              </a:extLst>
            </xdr:cNvPr>
            <xdr:cNvSpPr/>
          </xdr:nvSpPr>
          <xdr:spPr>
            <a:xfrm>
              <a:off x="5458178" y="1140178"/>
              <a:ext cx="609600" cy="609600"/>
            </a:xfrm>
            <a:custGeom>
              <a:avLst/>
              <a:gdLst>
                <a:gd name="connsiteX0" fmla="*/ 304800 w 609600"/>
                <a:gd name="connsiteY0" fmla="*/ 19050 h 609600"/>
                <a:gd name="connsiteX1" fmla="*/ 590550 w 609600"/>
                <a:gd name="connsiteY1" fmla="*/ 304800 h 609600"/>
                <a:gd name="connsiteX2" fmla="*/ 304800 w 609600"/>
                <a:gd name="connsiteY2" fmla="*/ 590550 h 609600"/>
                <a:gd name="connsiteX3" fmla="*/ 19050 w 609600"/>
                <a:gd name="connsiteY3" fmla="*/ 304800 h 609600"/>
                <a:gd name="connsiteX4" fmla="*/ 304800 w 609600"/>
                <a:gd name="connsiteY4" fmla="*/ 19050 h 609600"/>
                <a:gd name="connsiteX5" fmla="*/ 304800 w 609600"/>
                <a:gd name="connsiteY5" fmla="*/ 0 h 609600"/>
                <a:gd name="connsiteX6" fmla="*/ 0 w 609600"/>
                <a:gd name="connsiteY6" fmla="*/ 304800 h 609600"/>
                <a:gd name="connsiteX7" fmla="*/ 304800 w 609600"/>
                <a:gd name="connsiteY7" fmla="*/ 609600 h 609600"/>
                <a:gd name="connsiteX8" fmla="*/ 609600 w 609600"/>
                <a:gd name="connsiteY8" fmla="*/ 304800 h 609600"/>
                <a:gd name="connsiteX9" fmla="*/ 304800 w 609600"/>
                <a:gd name="connsiteY9" fmla="*/ 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609600" h="609600">
                  <a:moveTo>
                    <a:pt x="304800" y="19050"/>
                  </a:moveTo>
                  <a:cubicBezTo>
                    <a:pt x="462615" y="19050"/>
                    <a:pt x="590550" y="146985"/>
                    <a:pt x="590550" y="304800"/>
                  </a:cubicBezTo>
                  <a:cubicBezTo>
                    <a:pt x="590550" y="462615"/>
                    <a:pt x="462615" y="590550"/>
                    <a:pt x="304800" y="590550"/>
                  </a:cubicBezTo>
                  <a:cubicBezTo>
                    <a:pt x="146985" y="590550"/>
                    <a:pt x="19050" y="462615"/>
                    <a:pt x="19050" y="304800"/>
                  </a:cubicBezTo>
                  <a:cubicBezTo>
                    <a:pt x="19228" y="147058"/>
                    <a:pt x="147058" y="19228"/>
                    <a:pt x="304800" y="19050"/>
                  </a:cubicBezTo>
                  <a:moveTo>
                    <a:pt x="304800" y="0"/>
                  </a:moveTo>
                  <a:cubicBezTo>
                    <a:pt x="136464" y="0"/>
                    <a:pt x="0" y="136464"/>
                    <a:pt x="0" y="304800"/>
                  </a:cubicBezTo>
                  <a:cubicBezTo>
                    <a:pt x="0" y="473136"/>
                    <a:pt x="136464" y="609600"/>
                    <a:pt x="304800" y="609600"/>
                  </a:cubicBezTo>
                  <a:cubicBezTo>
                    <a:pt x="473136" y="609600"/>
                    <a:pt x="609600" y="473136"/>
                    <a:pt x="609600" y="304800"/>
                  </a:cubicBezTo>
                  <a:cubicBezTo>
                    <a:pt x="609411" y="136542"/>
                    <a:pt x="473058" y="189"/>
                    <a:pt x="304800" y="0"/>
                  </a:cubicBezTo>
                  <a:close/>
                </a:path>
              </a:pathLst>
            </a:custGeom>
            <a:solidFill>
              <a:srgbClr val="000000"/>
            </a:solidFill>
            <a:ln w="9525" cap="flat">
              <a:solidFill>
                <a:schemeClr val="bg1"/>
              </a:solidFill>
              <a:prstDash val="solid"/>
              <a:miter/>
            </a:ln>
          </xdr:spPr>
          <xdr:txBody>
            <a:bodyPr rtlCol="0" anchor="ctr"/>
            <a:lstStyle/>
            <a:p>
              <a:endParaRPr lang="en-US"/>
            </a:p>
          </xdr:txBody>
        </xdr:sp>
        <xdr:sp macro="" textlink="">
          <xdr:nvSpPr>
            <xdr:cNvPr id="16" name="Freeform: Shape 15">
              <a:extLst>
                <a:ext uri="{FF2B5EF4-FFF2-40B4-BE49-F238E27FC236}">
                  <a16:creationId xmlns:a16="http://schemas.microsoft.com/office/drawing/2014/main" id="{43C13297-A945-74F2-C786-875C6332F99F}"/>
                </a:ext>
              </a:extLst>
            </xdr:cNvPr>
            <xdr:cNvSpPr/>
          </xdr:nvSpPr>
          <xdr:spPr>
            <a:xfrm>
              <a:off x="5614389" y="1298292"/>
              <a:ext cx="295275" cy="295275"/>
            </a:xfrm>
            <a:custGeom>
              <a:avLst/>
              <a:gdLst>
                <a:gd name="connsiteX0" fmla="*/ 194939 w 295275"/>
                <a:gd name="connsiteY0" fmla="*/ 194948 h 295275"/>
                <a:gd name="connsiteX1" fmla="*/ 35023 w 295275"/>
                <a:gd name="connsiteY1" fmla="*/ 260366 h 295275"/>
                <a:gd name="connsiteX2" fmla="*/ 100336 w 295275"/>
                <a:gd name="connsiteY2" fmla="*/ 102175 h 295275"/>
                <a:gd name="connsiteX3" fmla="*/ 260252 w 295275"/>
                <a:gd name="connsiteY3" fmla="*/ 35290 h 295275"/>
                <a:gd name="connsiteX4" fmla="*/ 85725 w 295275"/>
                <a:gd name="connsiteY4" fmla="*/ 87630 h 295275"/>
                <a:gd name="connsiteX5" fmla="*/ 0 w 295275"/>
                <a:gd name="connsiteY5" fmla="*/ 295275 h 295275"/>
                <a:gd name="connsiteX6" fmla="*/ 209550 w 295275"/>
                <a:gd name="connsiteY6" fmla="*/ 209550 h 295275"/>
                <a:gd name="connsiteX7" fmla="*/ 295275 w 295275"/>
                <a:gd name="connsiteY7" fmla="*/ 0 h 2952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5275" h="295275">
                  <a:moveTo>
                    <a:pt x="194939" y="194948"/>
                  </a:moveTo>
                  <a:lnTo>
                    <a:pt x="35023" y="260366"/>
                  </a:lnTo>
                  <a:lnTo>
                    <a:pt x="100336" y="102175"/>
                  </a:lnTo>
                  <a:lnTo>
                    <a:pt x="260252" y="35290"/>
                  </a:lnTo>
                  <a:close/>
                  <a:moveTo>
                    <a:pt x="85725" y="87630"/>
                  </a:moveTo>
                  <a:lnTo>
                    <a:pt x="0" y="295275"/>
                  </a:lnTo>
                  <a:lnTo>
                    <a:pt x="209550" y="209550"/>
                  </a:lnTo>
                  <a:lnTo>
                    <a:pt x="295275" y="0"/>
                  </a:lnTo>
                  <a:close/>
                </a:path>
              </a:pathLst>
            </a:custGeom>
            <a:solidFill>
              <a:srgbClr val="000000"/>
            </a:solidFill>
            <a:ln w="9525" cap="flat">
              <a:solidFill>
                <a:schemeClr val="bg1"/>
              </a:solidFill>
              <a:prstDash val="solid"/>
              <a:miter/>
            </a:ln>
          </xdr:spPr>
          <xdr:txBody>
            <a:bodyPr rtlCol="0" anchor="ctr"/>
            <a:lstStyle/>
            <a:p>
              <a:endParaRPr lang="en-US"/>
            </a:p>
          </xdr:txBody>
        </xdr:sp>
        <xdr:sp macro="" textlink="">
          <xdr:nvSpPr>
            <xdr:cNvPr id="17" name="Freeform: Shape 16">
              <a:extLst>
                <a:ext uri="{FF2B5EF4-FFF2-40B4-BE49-F238E27FC236}">
                  <a16:creationId xmlns:a16="http://schemas.microsoft.com/office/drawing/2014/main" id="{C63CA91E-1EFB-D8F8-FDBD-C5016A77B64D}"/>
                </a:ext>
              </a:extLst>
            </xdr:cNvPr>
            <xdr:cNvSpPr/>
          </xdr:nvSpPr>
          <xdr:spPr>
            <a:xfrm>
              <a:off x="5743928" y="1425928"/>
              <a:ext cx="38100" cy="38100"/>
            </a:xfrm>
            <a:custGeom>
              <a:avLst/>
              <a:gdLst>
                <a:gd name="connsiteX0" fmla="*/ 38100 w 38100"/>
                <a:gd name="connsiteY0" fmla="*/ 19050 h 38100"/>
                <a:gd name="connsiteX1" fmla="*/ 19050 w 38100"/>
                <a:gd name="connsiteY1" fmla="*/ 38100 h 38100"/>
                <a:gd name="connsiteX2" fmla="*/ 0 w 38100"/>
                <a:gd name="connsiteY2" fmla="*/ 19050 h 38100"/>
                <a:gd name="connsiteX3" fmla="*/ 19050 w 38100"/>
                <a:gd name="connsiteY3" fmla="*/ 0 h 38100"/>
                <a:gd name="connsiteX4" fmla="*/ 38100 w 38100"/>
                <a:gd name="connsiteY4" fmla="*/ 19050 h 381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8100" h="38100">
                  <a:moveTo>
                    <a:pt x="38100" y="19050"/>
                  </a:moveTo>
                  <a:cubicBezTo>
                    <a:pt x="38100" y="29571"/>
                    <a:pt x="29571" y="38100"/>
                    <a:pt x="19050" y="38100"/>
                  </a:cubicBezTo>
                  <a:cubicBezTo>
                    <a:pt x="8529" y="38100"/>
                    <a:pt x="0" y="29571"/>
                    <a:pt x="0" y="19050"/>
                  </a:cubicBezTo>
                  <a:cubicBezTo>
                    <a:pt x="0" y="8529"/>
                    <a:pt x="8529" y="0"/>
                    <a:pt x="19050" y="0"/>
                  </a:cubicBezTo>
                  <a:cubicBezTo>
                    <a:pt x="29571" y="0"/>
                    <a:pt x="38100" y="8529"/>
                    <a:pt x="38100" y="19050"/>
                  </a:cubicBezTo>
                  <a:close/>
                </a:path>
              </a:pathLst>
            </a:custGeom>
            <a:solidFill>
              <a:srgbClr val="000000"/>
            </a:solidFill>
            <a:ln w="9525" cap="flat">
              <a:solidFill>
                <a:schemeClr val="bg1"/>
              </a:solidFill>
              <a:prstDash val="solid"/>
              <a:miter/>
            </a:ln>
          </xdr:spPr>
          <xdr:txBody>
            <a:bodyPr rtlCol="0" anchor="ctr"/>
            <a:lstStyle/>
            <a:p>
              <a:endParaRPr lang="en-US"/>
            </a:p>
          </xdr:txBody>
        </xdr:sp>
      </xdr:grpSp>
    </xdr:grpSp>
    <xdr:clientData/>
  </xdr:twoCellAnchor>
  <xdr:twoCellAnchor>
    <xdr:from>
      <xdr:col>16</xdr:col>
      <xdr:colOff>28221</xdr:colOff>
      <xdr:row>1</xdr:row>
      <xdr:rowOff>169332</xdr:rowOff>
    </xdr:from>
    <xdr:to>
      <xdr:col>16</xdr:col>
      <xdr:colOff>302541</xdr:colOff>
      <xdr:row>2</xdr:row>
      <xdr:rowOff>21166</xdr:rowOff>
    </xdr:to>
    <xdr:sp macro="" textlink="">
      <xdr:nvSpPr>
        <xdr:cNvPr id="18" name="Rectangle: Rounded Corners 17">
          <a:extLst>
            <a:ext uri="{FF2B5EF4-FFF2-40B4-BE49-F238E27FC236}">
              <a16:creationId xmlns:a16="http://schemas.microsoft.com/office/drawing/2014/main" id="{9C76829C-C63D-FC52-4E87-0D080C15A45D}"/>
            </a:ext>
          </a:extLst>
        </xdr:cNvPr>
        <xdr:cNvSpPr/>
      </xdr:nvSpPr>
      <xdr:spPr>
        <a:xfrm>
          <a:off x="10639777" y="366888"/>
          <a:ext cx="274320" cy="49389"/>
        </a:xfrm>
        <a:prstGeom prst="roundRect">
          <a:avLst>
            <a:gd name="adj" fmla="val 49099"/>
          </a:avLst>
        </a:prstGeom>
        <a:solidFill>
          <a:srgbClr val="194AF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396877</xdr:colOff>
      <xdr:row>3</xdr:row>
      <xdr:rowOff>76809</xdr:rowOff>
    </xdr:from>
    <xdr:to>
      <xdr:col>6</xdr:col>
      <xdr:colOff>202046</xdr:colOff>
      <xdr:row>7</xdr:row>
      <xdr:rowOff>187613</xdr:rowOff>
    </xdr:to>
    <xdr:sp macro="" textlink="">
      <xdr:nvSpPr>
        <xdr:cNvPr id="23" name="TextBox 22">
          <a:extLst>
            <a:ext uri="{FF2B5EF4-FFF2-40B4-BE49-F238E27FC236}">
              <a16:creationId xmlns:a16="http://schemas.microsoft.com/office/drawing/2014/main" id="{4F92D63F-51FA-43D7-9B24-3C36055FF93B}"/>
            </a:ext>
          </a:extLst>
        </xdr:cNvPr>
        <xdr:cNvSpPr txBox="1"/>
      </xdr:nvSpPr>
      <xdr:spPr>
        <a:xfrm>
          <a:off x="396877" y="661298"/>
          <a:ext cx="3788351" cy="890122"/>
        </a:xfrm>
        <a:prstGeom prst="rect">
          <a:avLst/>
        </a:prstGeom>
        <a:noFill/>
        <a:ln w="9525" cmpd="sng">
          <a:noFill/>
        </a:ln>
        <a:effectLst>
          <a:glow rad="63500">
            <a:schemeClr val="accent3">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aseline="0">
              <a:ln>
                <a:noFill/>
              </a:ln>
              <a:solidFill>
                <a:srgbClr val="98F8F2"/>
              </a:solidFill>
              <a:effectLst>
                <a:glow rad="177800">
                  <a:srgbClr val="194AFE">
                    <a:alpha val="55000"/>
                  </a:srgbClr>
                </a:glow>
              </a:effectLst>
              <a:latin typeface="Amasis MT Pro Black" panose="020F0502020204030204" pitchFamily="18" charset="0"/>
            </a:rPr>
            <a:t>Visualizing cost of production and potential returns for Texan Feedlots</a:t>
          </a:r>
          <a:endParaRPr lang="en-US" sz="1600">
            <a:ln>
              <a:noFill/>
            </a:ln>
            <a:solidFill>
              <a:srgbClr val="98F8F2"/>
            </a:solidFill>
            <a:effectLst>
              <a:glow rad="177800">
                <a:srgbClr val="194AFE">
                  <a:alpha val="55000"/>
                </a:srgbClr>
              </a:glow>
            </a:effectLst>
            <a:latin typeface="Amasis MT Pro Black" panose="020F0502020204030204" pitchFamily="18" charset="0"/>
          </a:endParaRPr>
        </a:p>
      </xdr:txBody>
    </xdr:sp>
    <xdr:clientData/>
  </xdr:twoCellAnchor>
  <xdr:twoCellAnchor editAs="oneCell">
    <xdr:from>
      <xdr:col>0</xdr:col>
      <xdr:colOff>577458</xdr:colOff>
      <xdr:row>10</xdr:row>
      <xdr:rowOff>91729</xdr:rowOff>
    </xdr:from>
    <xdr:to>
      <xdr:col>5</xdr:col>
      <xdr:colOff>4212</xdr:colOff>
      <xdr:row>12</xdr:row>
      <xdr:rowOff>105841</xdr:rowOff>
    </xdr:to>
    <mc:AlternateContent xmlns:mc="http://schemas.openxmlformats.org/markup-compatibility/2006" xmlns:a14="http://schemas.microsoft.com/office/drawing/2010/main">
      <mc:Choice Requires="a14">
        <xdr:graphicFrame macro="">
          <xdr:nvGraphicFramePr>
            <xdr:cNvPr id="27" name="Year ">
              <a:extLst>
                <a:ext uri="{FF2B5EF4-FFF2-40B4-BE49-F238E27FC236}">
                  <a16:creationId xmlns:a16="http://schemas.microsoft.com/office/drawing/2014/main" id="{101A90FA-AE16-44FE-974A-BFEEAA18C4EE}"/>
                </a:ext>
              </a:extLst>
            </xdr:cNvPr>
            <xdr:cNvGraphicFramePr/>
          </xdr:nvGraphicFramePr>
          <xdr:xfrm>
            <a:off x="0" y="0"/>
            <a:ext cx="0" cy="0"/>
          </xdr:xfrm>
          <a:graphic>
            <a:graphicData uri="http://schemas.microsoft.com/office/drawing/2010/slicer">
              <sle:slicer xmlns:sle="http://schemas.microsoft.com/office/drawing/2010/slicer" name="Year "/>
            </a:graphicData>
          </a:graphic>
        </xdr:graphicFrame>
      </mc:Choice>
      <mc:Fallback xmlns="">
        <xdr:sp macro="" textlink="">
          <xdr:nvSpPr>
            <xdr:cNvPr id="0" name=""/>
            <xdr:cNvSpPr>
              <a:spLocks noTextEdit="1"/>
            </xdr:cNvSpPr>
          </xdr:nvSpPr>
          <xdr:spPr>
            <a:xfrm>
              <a:off x="577458" y="2095507"/>
              <a:ext cx="2857501" cy="4092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424436</xdr:colOff>
      <xdr:row>24</xdr:row>
      <xdr:rowOff>0</xdr:rowOff>
    </xdr:from>
    <xdr:to>
      <xdr:col>4</xdr:col>
      <xdr:colOff>335536</xdr:colOff>
      <xdr:row>28</xdr:row>
      <xdr:rowOff>170180</xdr:rowOff>
    </xdr:to>
    <xdr:graphicFrame macro="">
      <xdr:nvGraphicFramePr>
        <xdr:cNvPr id="34" name="Chart 33">
          <a:extLst>
            <a:ext uri="{FF2B5EF4-FFF2-40B4-BE49-F238E27FC236}">
              <a16:creationId xmlns:a16="http://schemas.microsoft.com/office/drawing/2014/main" id="{D5E05400-FD43-4122-951E-E64487CE22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537322</xdr:colOff>
      <xdr:row>12</xdr:row>
      <xdr:rowOff>119948</xdr:rowOff>
    </xdr:from>
    <xdr:to>
      <xdr:col>5</xdr:col>
      <xdr:colOff>91721</xdr:colOff>
      <xdr:row>19</xdr:row>
      <xdr:rowOff>155225</xdr:rowOff>
    </xdr:to>
    <xdr:grpSp>
      <xdr:nvGrpSpPr>
        <xdr:cNvPr id="36" name="Group 35">
          <a:extLst>
            <a:ext uri="{FF2B5EF4-FFF2-40B4-BE49-F238E27FC236}">
              <a16:creationId xmlns:a16="http://schemas.microsoft.com/office/drawing/2014/main" id="{ACD3D684-7D76-AA4B-6E81-615F728B417A}"/>
            </a:ext>
          </a:extLst>
        </xdr:cNvPr>
        <xdr:cNvGrpSpPr/>
      </xdr:nvGrpSpPr>
      <xdr:grpSpPr>
        <a:xfrm>
          <a:off x="540497" y="2551998"/>
          <a:ext cx="2957999" cy="1432277"/>
          <a:chOff x="406399" y="2758722"/>
          <a:chExt cx="2863455" cy="1418166"/>
        </a:xfrm>
      </xdr:grpSpPr>
      <xdr:sp macro="" textlink="">
        <xdr:nvSpPr>
          <xdr:cNvPr id="24" name="TextBox 23">
            <a:extLst>
              <a:ext uri="{FF2B5EF4-FFF2-40B4-BE49-F238E27FC236}">
                <a16:creationId xmlns:a16="http://schemas.microsoft.com/office/drawing/2014/main" id="{80C16DB7-E707-415F-ADB4-5619964D40CA}"/>
              </a:ext>
            </a:extLst>
          </xdr:cNvPr>
          <xdr:cNvSpPr txBox="1"/>
        </xdr:nvSpPr>
        <xdr:spPr>
          <a:xfrm>
            <a:off x="437443" y="2758722"/>
            <a:ext cx="2737557" cy="5432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latin typeface="Avenir Next LT Pro Light" panose="020B0304020202020204" pitchFamily="34" charset="0"/>
              </a:rPr>
              <a:t>Total Revenue</a:t>
            </a:r>
          </a:p>
        </xdr:txBody>
      </xdr:sp>
      <xdr:sp macro="" textlink="'Pivot Tables'!R4">
        <xdr:nvSpPr>
          <xdr:cNvPr id="29" name="TextBox 28">
            <a:extLst>
              <a:ext uri="{FF2B5EF4-FFF2-40B4-BE49-F238E27FC236}">
                <a16:creationId xmlns:a16="http://schemas.microsoft.com/office/drawing/2014/main" id="{F6D9F3BB-F735-4048-9575-A29FE90CBB9A}"/>
              </a:ext>
            </a:extLst>
          </xdr:cNvPr>
          <xdr:cNvSpPr txBox="1"/>
        </xdr:nvSpPr>
        <xdr:spPr>
          <a:xfrm>
            <a:off x="406399" y="3139723"/>
            <a:ext cx="2701178" cy="670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F374110-9046-4AE3-A738-CFE5430922D6}" type="TxLink">
              <a:rPr lang="en-US" sz="3500" b="0" i="0" u="none" strike="noStrike">
                <a:solidFill>
                  <a:schemeClr val="accent4">
                    <a:lumMod val="60000"/>
                    <a:lumOff val="40000"/>
                  </a:schemeClr>
                </a:solidFill>
                <a:latin typeface="Agency FB" panose="020B0503020202020204" pitchFamily="34" charset="0"/>
                <a:ea typeface="ADLaM Display" panose="02010000000000000000" pitchFamily="2" charset="0"/>
                <a:cs typeface="Angsana New" panose="020B0502040204020203" pitchFamily="18" charset="-34"/>
              </a:rPr>
              <a:pPr/>
              <a:t>$2,307,410</a:t>
            </a:fld>
            <a:endParaRPr lang="en-US" sz="3500" b="0">
              <a:solidFill>
                <a:schemeClr val="accent4">
                  <a:lumMod val="60000"/>
                  <a:lumOff val="40000"/>
                </a:schemeClr>
              </a:solidFill>
              <a:latin typeface="Agency FB" panose="020B0503020202020204" pitchFamily="34" charset="0"/>
              <a:ea typeface="ADLaM Display" panose="02010000000000000000" pitchFamily="2" charset="0"/>
              <a:cs typeface="Angsana New" panose="020B0502040204020203" pitchFamily="18" charset="-34"/>
            </a:endParaRPr>
          </a:p>
        </xdr:txBody>
      </xdr:sp>
      <xdr:sp macro="" textlink="'Pivot Tables'!Q4">
        <xdr:nvSpPr>
          <xdr:cNvPr id="31" name="TextBox 30">
            <a:extLst>
              <a:ext uri="{FF2B5EF4-FFF2-40B4-BE49-F238E27FC236}">
                <a16:creationId xmlns:a16="http://schemas.microsoft.com/office/drawing/2014/main" id="{EBAD8FCE-C8CD-4A44-9ACE-F11BE23E5BAA}"/>
              </a:ext>
            </a:extLst>
          </xdr:cNvPr>
          <xdr:cNvSpPr txBox="1"/>
        </xdr:nvSpPr>
        <xdr:spPr>
          <a:xfrm>
            <a:off x="1603021" y="3852333"/>
            <a:ext cx="1666833" cy="324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BDD8EE7-E8B9-4C2F-8DF2-7709C1B1694B}" type="TxLink">
              <a:rPr lang="en-US" sz="1600" b="0" i="0" u="none" strike="noStrike">
                <a:solidFill>
                  <a:schemeClr val="accent4">
                    <a:lumMod val="60000"/>
                    <a:lumOff val="40000"/>
                  </a:schemeClr>
                </a:solidFill>
                <a:latin typeface="Agency FB" panose="020B0503020202020204" pitchFamily="34" charset="0"/>
                <a:ea typeface="Calibri"/>
                <a:cs typeface="Calibri"/>
              </a:rPr>
              <a:pPr/>
              <a:t>$2,124,956</a:t>
            </a:fld>
            <a:endParaRPr lang="en-US" sz="2000" b="0">
              <a:solidFill>
                <a:schemeClr val="accent4">
                  <a:lumMod val="60000"/>
                  <a:lumOff val="40000"/>
                </a:schemeClr>
              </a:solidFill>
              <a:latin typeface="Agency FB" panose="020B0503020202020204" pitchFamily="34" charset="0"/>
            </a:endParaRPr>
          </a:p>
        </xdr:txBody>
      </xdr:sp>
      <xdr:sp macro="" textlink="">
        <xdr:nvSpPr>
          <xdr:cNvPr id="35" name="TextBox 34">
            <a:extLst>
              <a:ext uri="{FF2B5EF4-FFF2-40B4-BE49-F238E27FC236}">
                <a16:creationId xmlns:a16="http://schemas.microsoft.com/office/drawing/2014/main" id="{9878564A-4D4A-4B3B-BFEC-E35F9AB84D41}"/>
              </a:ext>
            </a:extLst>
          </xdr:cNvPr>
          <xdr:cNvSpPr txBox="1"/>
        </xdr:nvSpPr>
        <xdr:spPr>
          <a:xfrm>
            <a:off x="448732" y="3894667"/>
            <a:ext cx="1435101" cy="265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solidFill>
                <a:latin typeface="Avenir Next LT Pro Light" panose="020B0304020202020204" pitchFamily="34" charset="0"/>
              </a:rPr>
              <a:t>Total Expenses</a:t>
            </a:r>
          </a:p>
        </xdr:txBody>
      </xdr:sp>
    </xdr:grpSp>
    <xdr:clientData/>
  </xdr:twoCellAnchor>
  <xdr:twoCellAnchor>
    <xdr:from>
      <xdr:col>0</xdr:col>
      <xdr:colOff>487269</xdr:colOff>
      <xdr:row>28</xdr:row>
      <xdr:rowOff>169340</xdr:rowOff>
    </xdr:from>
    <xdr:to>
      <xdr:col>4</xdr:col>
      <xdr:colOff>30695</xdr:colOff>
      <xdr:row>30</xdr:row>
      <xdr:rowOff>148173</xdr:rowOff>
    </xdr:to>
    <xdr:sp macro="" textlink="">
      <xdr:nvSpPr>
        <xdr:cNvPr id="37" name="TextBox 36">
          <a:extLst>
            <a:ext uri="{FF2B5EF4-FFF2-40B4-BE49-F238E27FC236}">
              <a16:creationId xmlns:a16="http://schemas.microsoft.com/office/drawing/2014/main" id="{E120A9D1-139F-406F-831E-4229E06CA1C8}"/>
            </a:ext>
          </a:extLst>
        </xdr:cNvPr>
        <xdr:cNvSpPr txBox="1"/>
      </xdr:nvSpPr>
      <xdr:spPr>
        <a:xfrm>
          <a:off x="487269" y="5729118"/>
          <a:ext cx="2196315" cy="373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chemeClr val="bg1"/>
              </a:solidFill>
              <a:latin typeface="Avenir Next LT Pro Light" panose="020B0304020202020204" pitchFamily="34" charset="0"/>
            </a:rPr>
            <a:t>Cost Components</a:t>
          </a:r>
        </a:p>
      </xdr:txBody>
    </xdr:sp>
    <xdr:clientData/>
  </xdr:twoCellAnchor>
  <xdr:twoCellAnchor>
    <xdr:from>
      <xdr:col>0</xdr:col>
      <xdr:colOff>488400</xdr:colOff>
      <xdr:row>30</xdr:row>
      <xdr:rowOff>98778</xdr:rowOff>
    </xdr:from>
    <xdr:to>
      <xdr:col>5</xdr:col>
      <xdr:colOff>190501</xdr:colOff>
      <xdr:row>40</xdr:row>
      <xdr:rowOff>12221</xdr:rowOff>
    </xdr:to>
    <xdr:grpSp>
      <xdr:nvGrpSpPr>
        <xdr:cNvPr id="63" name="Group 62">
          <a:extLst>
            <a:ext uri="{FF2B5EF4-FFF2-40B4-BE49-F238E27FC236}">
              <a16:creationId xmlns:a16="http://schemas.microsoft.com/office/drawing/2014/main" id="{9795987B-7664-E813-C9C6-2D96C39E9570}"/>
            </a:ext>
          </a:extLst>
        </xdr:cNvPr>
        <xdr:cNvGrpSpPr/>
      </xdr:nvGrpSpPr>
      <xdr:grpSpPr>
        <a:xfrm>
          <a:off x="485225" y="6131278"/>
          <a:ext cx="3115226" cy="1907343"/>
          <a:chOff x="330197" y="5792611"/>
          <a:chExt cx="3335679" cy="2453923"/>
        </a:xfrm>
      </xdr:grpSpPr>
      <xdr:grpSp>
        <xdr:nvGrpSpPr>
          <xdr:cNvPr id="39" name="Group 38">
            <a:extLst>
              <a:ext uri="{FF2B5EF4-FFF2-40B4-BE49-F238E27FC236}">
                <a16:creationId xmlns:a16="http://schemas.microsoft.com/office/drawing/2014/main" id="{1CE8C429-158A-B4B5-9A96-AC6C92A51296}"/>
              </a:ext>
            </a:extLst>
          </xdr:cNvPr>
          <xdr:cNvGrpSpPr/>
        </xdr:nvGrpSpPr>
        <xdr:grpSpPr>
          <a:xfrm>
            <a:off x="509411" y="5842000"/>
            <a:ext cx="1444978" cy="2389010"/>
            <a:chOff x="509411" y="5842000"/>
            <a:chExt cx="2034822" cy="2389010"/>
          </a:xfrm>
        </xdr:grpSpPr>
        <xdr:grpSp>
          <xdr:nvGrpSpPr>
            <xdr:cNvPr id="26" name="Group 25">
              <a:extLst>
                <a:ext uri="{FF2B5EF4-FFF2-40B4-BE49-F238E27FC236}">
                  <a16:creationId xmlns:a16="http://schemas.microsoft.com/office/drawing/2014/main" id="{C0D385BC-422D-C3EF-64F8-8A06211C3C62}"/>
                </a:ext>
              </a:extLst>
            </xdr:cNvPr>
            <xdr:cNvGrpSpPr/>
          </xdr:nvGrpSpPr>
          <xdr:grpSpPr>
            <a:xfrm>
              <a:off x="509411" y="5842000"/>
              <a:ext cx="2034822" cy="1948745"/>
              <a:chOff x="255411" y="5898444"/>
              <a:chExt cx="2034822" cy="1948745"/>
            </a:xfrm>
          </xdr:grpSpPr>
          <xdr:sp macro="" textlink="'Pivot Tables'!H4">
            <xdr:nvSpPr>
              <xdr:cNvPr id="3" name="TextBox 2">
                <a:extLst>
                  <a:ext uri="{FF2B5EF4-FFF2-40B4-BE49-F238E27FC236}">
                    <a16:creationId xmlns:a16="http://schemas.microsoft.com/office/drawing/2014/main" id="{B8DF534D-D04B-42C4-9363-47148510A190}"/>
                  </a:ext>
                </a:extLst>
              </xdr:cNvPr>
              <xdr:cNvSpPr txBox="1"/>
            </xdr:nvSpPr>
            <xdr:spPr>
              <a:xfrm>
                <a:off x="255411" y="5898444"/>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162D326-84DC-4FB1-9FE6-249485EDAA07}" type="TxLink">
                  <a:rPr lang="en-US" sz="1100" b="0" i="0" u="none" strike="noStrike">
                    <a:solidFill>
                      <a:schemeClr val="bg1"/>
                    </a:solidFill>
                    <a:latin typeface="Avenir Next LT Pro Light" panose="020B0304020202020204" pitchFamily="34" charset="0"/>
                    <a:ea typeface="Calibri"/>
                    <a:cs typeface="Calibri"/>
                  </a:rPr>
                  <a:pPr/>
                  <a:t>Feed</a:t>
                </a:fld>
                <a:endParaRPr lang="en-US" sz="1600">
                  <a:solidFill>
                    <a:schemeClr val="bg1"/>
                  </a:solidFill>
                  <a:latin typeface="Avenir Next LT Pro Light" panose="020B0304020202020204" pitchFamily="34" charset="0"/>
                </a:endParaRPr>
              </a:p>
            </xdr:txBody>
          </xdr:sp>
          <xdr:sp macro="" textlink="'Pivot Tables'!H5">
            <xdr:nvSpPr>
              <xdr:cNvPr id="11" name="TextBox 10">
                <a:extLst>
                  <a:ext uri="{FF2B5EF4-FFF2-40B4-BE49-F238E27FC236}">
                    <a16:creationId xmlns:a16="http://schemas.microsoft.com/office/drawing/2014/main" id="{13B54880-68FF-4A8F-8C31-BCC791C0024E}"/>
                  </a:ext>
                </a:extLst>
              </xdr:cNvPr>
              <xdr:cNvSpPr txBox="1"/>
            </xdr:nvSpPr>
            <xdr:spPr>
              <a:xfrm>
                <a:off x="255411" y="6290380"/>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151B6C5-0570-49AE-86EC-DAE670F8E459}" type="TxLink">
                  <a:rPr lang="en-US" sz="1200" b="0" i="0" u="none" strike="noStrike">
                    <a:solidFill>
                      <a:schemeClr val="bg1"/>
                    </a:solidFill>
                    <a:latin typeface="Calibri"/>
                    <a:ea typeface="Calibri"/>
                    <a:cs typeface="Calibri"/>
                  </a:rPr>
                  <a:pPr/>
                  <a:t>Feeder Cattle</a:t>
                </a:fld>
                <a:endParaRPr lang="en-US" sz="1600">
                  <a:solidFill>
                    <a:schemeClr val="bg1"/>
                  </a:solidFill>
                  <a:latin typeface="Avenir Next LT Pro Light" panose="020B0304020202020204" pitchFamily="34" charset="0"/>
                </a:endParaRPr>
              </a:p>
            </xdr:txBody>
          </xdr:sp>
          <xdr:sp macro="" textlink="'Pivot Tables'!H6">
            <xdr:nvSpPr>
              <xdr:cNvPr id="12" name="TextBox 11">
                <a:extLst>
                  <a:ext uri="{FF2B5EF4-FFF2-40B4-BE49-F238E27FC236}">
                    <a16:creationId xmlns:a16="http://schemas.microsoft.com/office/drawing/2014/main" id="{EA4D9C08-C683-4EC3-8D5F-C0FBFF6D4663}"/>
                  </a:ext>
                </a:extLst>
              </xdr:cNvPr>
              <xdr:cNvSpPr txBox="1"/>
            </xdr:nvSpPr>
            <xdr:spPr>
              <a:xfrm>
                <a:off x="255411" y="6682316"/>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45078B7-F1C7-4AFE-B93D-15CFD978C746}" type="TxLink">
                  <a:rPr lang="en-US" sz="1200" b="0" i="0" u="none" strike="noStrike">
                    <a:solidFill>
                      <a:schemeClr val="bg1"/>
                    </a:solidFill>
                    <a:latin typeface="Calibri"/>
                    <a:ea typeface="Calibri"/>
                    <a:cs typeface="Calibri"/>
                  </a:rPr>
                  <a:pPr/>
                  <a:t>Fixed</a:t>
                </a:fld>
                <a:endParaRPr lang="en-US" sz="1600">
                  <a:solidFill>
                    <a:schemeClr val="bg1"/>
                  </a:solidFill>
                  <a:latin typeface="Avenir Next LT Pro Light" panose="020B0304020202020204" pitchFamily="34" charset="0"/>
                </a:endParaRPr>
              </a:p>
            </xdr:txBody>
          </xdr:sp>
          <xdr:sp macro="" textlink="'Pivot Tables'!H7">
            <xdr:nvSpPr>
              <xdr:cNvPr id="14" name="TextBox 13">
                <a:extLst>
                  <a:ext uri="{FF2B5EF4-FFF2-40B4-BE49-F238E27FC236}">
                    <a16:creationId xmlns:a16="http://schemas.microsoft.com/office/drawing/2014/main" id="{7377FBE1-B762-4C7E-A576-FB73F5A6133A}"/>
                  </a:ext>
                </a:extLst>
              </xdr:cNvPr>
              <xdr:cNvSpPr txBox="1"/>
            </xdr:nvSpPr>
            <xdr:spPr>
              <a:xfrm>
                <a:off x="255411" y="7074252"/>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5444C92-7E31-43C4-BADA-26F927EC0206}" type="TxLink">
                  <a:rPr lang="en-US" sz="1200" b="0" i="0" u="none" strike="noStrike">
                    <a:solidFill>
                      <a:schemeClr val="bg1"/>
                    </a:solidFill>
                    <a:latin typeface="Calibri"/>
                    <a:ea typeface="Calibri"/>
                    <a:cs typeface="Calibri"/>
                  </a:rPr>
                  <a:pPr/>
                  <a:t>Interest</a:t>
                </a:fld>
                <a:endParaRPr lang="en-US" sz="1600">
                  <a:solidFill>
                    <a:schemeClr val="bg1"/>
                  </a:solidFill>
                  <a:latin typeface="Avenir Next LT Pro Light" panose="020B0304020202020204" pitchFamily="34" charset="0"/>
                </a:endParaRPr>
              </a:p>
            </xdr:txBody>
          </xdr:sp>
          <xdr:sp macro="" textlink="'Pivot Tables'!H8">
            <xdr:nvSpPr>
              <xdr:cNvPr id="25" name="TextBox 24">
                <a:extLst>
                  <a:ext uri="{FF2B5EF4-FFF2-40B4-BE49-F238E27FC236}">
                    <a16:creationId xmlns:a16="http://schemas.microsoft.com/office/drawing/2014/main" id="{3358B753-EDDC-4DD8-B2FE-5E1B7E0BB61A}"/>
                  </a:ext>
                </a:extLst>
              </xdr:cNvPr>
              <xdr:cNvSpPr txBox="1"/>
            </xdr:nvSpPr>
            <xdr:spPr>
              <a:xfrm>
                <a:off x="255411" y="7466189"/>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268BBC7-2B77-4D8B-A857-7064D3DE4F6E}" type="TxLink">
                  <a:rPr lang="en-US" sz="1200" b="0" i="0" u="none" strike="noStrike">
                    <a:solidFill>
                      <a:schemeClr val="bg1"/>
                    </a:solidFill>
                    <a:latin typeface="Calibri"/>
                    <a:ea typeface="Calibri"/>
                    <a:cs typeface="Calibri"/>
                  </a:rPr>
                  <a:pPr/>
                  <a:t>Labour</a:t>
                </a:fld>
                <a:endParaRPr lang="en-US" sz="1600">
                  <a:solidFill>
                    <a:schemeClr val="bg1"/>
                  </a:solidFill>
                  <a:latin typeface="Avenir Next LT Pro Light" panose="020B0304020202020204" pitchFamily="34" charset="0"/>
                </a:endParaRPr>
              </a:p>
            </xdr:txBody>
          </xdr:sp>
        </xdr:grpSp>
        <xdr:sp macro="" textlink="'Pivot Tables'!H9">
          <xdr:nvSpPr>
            <xdr:cNvPr id="38" name="TextBox 37">
              <a:extLst>
                <a:ext uri="{FF2B5EF4-FFF2-40B4-BE49-F238E27FC236}">
                  <a16:creationId xmlns:a16="http://schemas.microsoft.com/office/drawing/2014/main" id="{16A1F6EA-2402-48E4-BE7C-3B7B06AB71C1}"/>
                </a:ext>
              </a:extLst>
            </xdr:cNvPr>
            <xdr:cNvSpPr txBox="1"/>
          </xdr:nvSpPr>
          <xdr:spPr>
            <a:xfrm>
              <a:off x="509411" y="7850010"/>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897C9E9-F09F-4AD6-9CBB-3CE1326EAD05}" type="TxLink">
                <a:rPr lang="en-US" sz="1200" b="0" i="0" u="none" strike="noStrike">
                  <a:solidFill>
                    <a:schemeClr val="bg1"/>
                  </a:solidFill>
                  <a:latin typeface="Calibri"/>
                  <a:ea typeface="Calibri"/>
                  <a:cs typeface="Calibri"/>
                </a:rPr>
                <a:pPr/>
                <a:t>Other Operations</a:t>
              </a:fld>
              <a:endParaRPr lang="en-US" sz="1600">
                <a:solidFill>
                  <a:schemeClr val="bg1"/>
                </a:solidFill>
                <a:latin typeface="Avenir Next LT Pro Light" panose="020B0304020202020204" pitchFamily="34" charset="0"/>
              </a:endParaRPr>
            </a:p>
          </xdr:txBody>
        </xdr:sp>
      </xdr:grpSp>
      <xdr:grpSp>
        <xdr:nvGrpSpPr>
          <xdr:cNvPr id="40" name="Group 39">
            <a:extLst>
              <a:ext uri="{FF2B5EF4-FFF2-40B4-BE49-F238E27FC236}">
                <a16:creationId xmlns:a16="http://schemas.microsoft.com/office/drawing/2014/main" id="{94AB84EF-1E2B-43A6-B08F-B66924FC0028}"/>
              </a:ext>
            </a:extLst>
          </xdr:cNvPr>
          <xdr:cNvGrpSpPr/>
        </xdr:nvGrpSpPr>
        <xdr:grpSpPr>
          <a:xfrm>
            <a:off x="1684864" y="5846235"/>
            <a:ext cx="558803" cy="2389010"/>
            <a:chOff x="509411" y="5842000"/>
            <a:chExt cx="2034822" cy="2389010"/>
          </a:xfrm>
        </xdr:grpSpPr>
        <xdr:grpSp>
          <xdr:nvGrpSpPr>
            <xdr:cNvPr id="41" name="Group 40">
              <a:extLst>
                <a:ext uri="{FF2B5EF4-FFF2-40B4-BE49-F238E27FC236}">
                  <a16:creationId xmlns:a16="http://schemas.microsoft.com/office/drawing/2014/main" id="{72203A47-CB90-47A4-D7A2-82F5A5864CDC}"/>
                </a:ext>
              </a:extLst>
            </xdr:cNvPr>
            <xdr:cNvGrpSpPr/>
          </xdr:nvGrpSpPr>
          <xdr:grpSpPr>
            <a:xfrm>
              <a:off x="509411" y="5842000"/>
              <a:ext cx="2034822" cy="1948745"/>
              <a:chOff x="255411" y="5898444"/>
              <a:chExt cx="2034822" cy="1948745"/>
            </a:xfrm>
          </xdr:grpSpPr>
          <xdr:sp macro="" textlink="'Pivot Tables'!O4">
            <xdr:nvSpPr>
              <xdr:cNvPr id="43" name="TextBox 42">
                <a:extLst>
                  <a:ext uri="{FF2B5EF4-FFF2-40B4-BE49-F238E27FC236}">
                    <a16:creationId xmlns:a16="http://schemas.microsoft.com/office/drawing/2014/main" id="{69FF83EA-B138-3451-8BE1-1C83CC5B5F7B}"/>
                  </a:ext>
                </a:extLst>
              </xdr:cNvPr>
              <xdr:cNvSpPr txBox="1"/>
            </xdr:nvSpPr>
            <xdr:spPr>
              <a:xfrm>
                <a:off x="255411" y="5898444"/>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616E644-5938-4AD8-AFCB-ED66D8B5A0E2}" type="TxLink">
                  <a:rPr lang="en-US" sz="1200" b="0" i="0" u="none" strike="noStrike">
                    <a:solidFill>
                      <a:schemeClr val="bg1"/>
                    </a:solidFill>
                    <a:latin typeface="Calibri"/>
                    <a:ea typeface="Calibri"/>
                    <a:cs typeface="Calibri"/>
                  </a:rPr>
                  <a:pPr algn="ctr"/>
                  <a:t>2%</a:t>
                </a:fld>
                <a:endParaRPr lang="en-US" sz="1600">
                  <a:solidFill>
                    <a:schemeClr val="bg1"/>
                  </a:solidFill>
                  <a:latin typeface="Avenir Next LT Pro Light" panose="020B0304020202020204" pitchFamily="34" charset="0"/>
                </a:endParaRPr>
              </a:p>
            </xdr:txBody>
          </xdr:sp>
          <xdr:sp macro="" textlink="'Pivot Tables'!O5">
            <xdr:nvSpPr>
              <xdr:cNvPr id="44" name="TextBox 43">
                <a:extLst>
                  <a:ext uri="{FF2B5EF4-FFF2-40B4-BE49-F238E27FC236}">
                    <a16:creationId xmlns:a16="http://schemas.microsoft.com/office/drawing/2014/main" id="{367AFC51-87BF-C1BF-AB44-06B27CBD3303}"/>
                  </a:ext>
                </a:extLst>
              </xdr:cNvPr>
              <xdr:cNvSpPr txBox="1"/>
            </xdr:nvSpPr>
            <xdr:spPr>
              <a:xfrm>
                <a:off x="255411" y="6290380"/>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F807E53-8FDB-4902-8FE8-8D1110DD6647}" type="TxLink">
                  <a:rPr lang="en-US" sz="1200" b="0" i="0" u="none" strike="noStrike">
                    <a:solidFill>
                      <a:schemeClr val="bg1"/>
                    </a:solidFill>
                    <a:latin typeface="Calibri"/>
                    <a:ea typeface="Calibri"/>
                    <a:cs typeface="Calibri"/>
                  </a:rPr>
                  <a:pPr algn="ctr"/>
                  <a:t>86%</a:t>
                </a:fld>
                <a:endParaRPr lang="en-US" sz="1600">
                  <a:solidFill>
                    <a:schemeClr val="bg1"/>
                  </a:solidFill>
                  <a:latin typeface="Avenir Next LT Pro Light" panose="020B0304020202020204" pitchFamily="34" charset="0"/>
                </a:endParaRPr>
              </a:p>
            </xdr:txBody>
          </xdr:sp>
          <xdr:sp macro="" textlink="'Pivot Tables'!O6">
            <xdr:nvSpPr>
              <xdr:cNvPr id="45" name="TextBox 44">
                <a:extLst>
                  <a:ext uri="{FF2B5EF4-FFF2-40B4-BE49-F238E27FC236}">
                    <a16:creationId xmlns:a16="http://schemas.microsoft.com/office/drawing/2014/main" id="{6426F073-DA0C-2A39-3D9E-687320DD7BBC}"/>
                  </a:ext>
                </a:extLst>
              </xdr:cNvPr>
              <xdr:cNvSpPr txBox="1"/>
            </xdr:nvSpPr>
            <xdr:spPr>
              <a:xfrm>
                <a:off x="255411" y="6682316"/>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D13D558-72A0-40E6-9A12-70DDD4638CDE}" type="TxLink">
                  <a:rPr lang="en-US" sz="1200" b="0" i="0" u="none" strike="noStrike">
                    <a:solidFill>
                      <a:schemeClr val="bg1"/>
                    </a:solidFill>
                    <a:latin typeface="Calibri"/>
                    <a:ea typeface="Calibri"/>
                    <a:cs typeface="Calibri"/>
                  </a:rPr>
                  <a:pPr algn="ctr"/>
                  <a:t>0%</a:t>
                </a:fld>
                <a:endParaRPr lang="en-US" sz="1600">
                  <a:solidFill>
                    <a:schemeClr val="bg1"/>
                  </a:solidFill>
                  <a:latin typeface="Avenir Next LT Pro Light" panose="020B0304020202020204" pitchFamily="34" charset="0"/>
                </a:endParaRPr>
              </a:p>
            </xdr:txBody>
          </xdr:sp>
          <xdr:sp macro="" textlink="'Pivot Tables'!O7">
            <xdr:nvSpPr>
              <xdr:cNvPr id="46" name="TextBox 45">
                <a:extLst>
                  <a:ext uri="{FF2B5EF4-FFF2-40B4-BE49-F238E27FC236}">
                    <a16:creationId xmlns:a16="http://schemas.microsoft.com/office/drawing/2014/main" id="{E0E752FB-E4C4-EC37-DA74-7979F9ED63DF}"/>
                  </a:ext>
                </a:extLst>
              </xdr:cNvPr>
              <xdr:cNvSpPr txBox="1"/>
            </xdr:nvSpPr>
            <xdr:spPr>
              <a:xfrm>
                <a:off x="255411" y="7074252"/>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9A6B8C1-35F6-46C5-B87C-A48455F61A23}" type="TxLink">
                  <a:rPr lang="en-US" sz="1200" b="0" i="0" u="none" strike="noStrike">
                    <a:solidFill>
                      <a:schemeClr val="bg1"/>
                    </a:solidFill>
                    <a:latin typeface="Calibri"/>
                    <a:ea typeface="Calibri"/>
                    <a:cs typeface="Calibri"/>
                  </a:rPr>
                  <a:pPr algn="ctr"/>
                  <a:t>4%</a:t>
                </a:fld>
                <a:endParaRPr lang="en-US" sz="1600">
                  <a:solidFill>
                    <a:schemeClr val="bg1"/>
                  </a:solidFill>
                  <a:latin typeface="Avenir Next LT Pro Light" panose="020B0304020202020204" pitchFamily="34" charset="0"/>
                </a:endParaRPr>
              </a:p>
            </xdr:txBody>
          </xdr:sp>
          <xdr:sp macro="" textlink="'Pivot Tables'!O8">
            <xdr:nvSpPr>
              <xdr:cNvPr id="47" name="TextBox 46">
                <a:extLst>
                  <a:ext uri="{FF2B5EF4-FFF2-40B4-BE49-F238E27FC236}">
                    <a16:creationId xmlns:a16="http://schemas.microsoft.com/office/drawing/2014/main" id="{4D72D40E-84F1-26ED-45A5-DB69E8ED7470}"/>
                  </a:ext>
                </a:extLst>
              </xdr:cNvPr>
              <xdr:cNvSpPr txBox="1"/>
            </xdr:nvSpPr>
            <xdr:spPr>
              <a:xfrm>
                <a:off x="255411" y="7466189"/>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B039CE6-C030-4231-B92F-6AFEBEE05877}" type="TxLink">
                  <a:rPr lang="en-US" sz="1200" b="0" i="0" u="none" strike="noStrike">
                    <a:solidFill>
                      <a:schemeClr val="bg1"/>
                    </a:solidFill>
                    <a:latin typeface="Calibri"/>
                    <a:ea typeface="Calibri"/>
                    <a:cs typeface="Calibri"/>
                  </a:rPr>
                  <a:pPr algn="ctr"/>
                  <a:t>2%</a:t>
                </a:fld>
                <a:endParaRPr lang="en-US" sz="1600">
                  <a:solidFill>
                    <a:schemeClr val="bg1"/>
                  </a:solidFill>
                  <a:latin typeface="Avenir Next LT Pro Light" panose="020B0304020202020204" pitchFamily="34" charset="0"/>
                </a:endParaRPr>
              </a:p>
            </xdr:txBody>
          </xdr:sp>
        </xdr:grpSp>
        <xdr:sp macro="" textlink="'Pivot Tables'!O9">
          <xdr:nvSpPr>
            <xdr:cNvPr id="42" name="TextBox 41">
              <a:extLst>
                <a:ext uri="{FF2B5EF4-FFF2-40B4-BE49-F238E27FC236}">
                  <a16:creationId xmlns:a16="http://schemas.microsoft.com/office/drawing/2014/main" id="{B97CAFFF-A105-056D-F749-73105C1F8A02}"/>
                </a:ext>
              </a:extLst>
            </xdr:cNvPr>
            <xdr:cNvSpPr txBox="1"/>
          </xdr:nvSpPr>
          <xdr:spPr>
            <a:xfrm>
              <a:off x="509411" y="7850010"/>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BB78CCC-889F-44B6-8F20-2DF208FC6CAF}" type="TxLink">
                <a:rPr lang="en-US" sz="1200" b="0" i="0" u="none" strike="noStrike">
                  <a:solidFill>
                    <a:schemeClr val="bg1"/>
                  </a:solidFill>
                  <a:latin typeface="Calibri"/>
                  <a:ea typeface="Calibri"/>
                  <a:cs typeface="Calibri"/>
                </a:rPr>
                <a:pPr algn="ctr"/>
                <a:t>5%</a:t>
              </a:fld>
              <a:endParaRPr lang="en-US" sz="1600">
                <a:solidFill>
                  <a:schemeClr val="bg1"/>
                </a:solidFill>
                <a:latin typeface="Avenir Next LT Pro Light" panose="020B0304020202020204" pitchFamily="34" charset="0"/>
              </a:endParaRPr>
            </a:p>
          </xdr:txBody>
        </xdr:sp>
      </xdr:grpSp>
      <xdr:grpSp>
        <xdr:nvGrpSpPr>
          <xdr:cNvPr id="48" name="Group 47">
            <a:extLst>
              <a:ext uri="{FF2B5EF4-FFF2-40B4-BE49-F238E27FC236}">
                <a16:creationId xmlns:a16="http://schemas.microsoft.com/office/drawing/2014/main" id="{CA41A537-619C-48EA-8BC6-04C38B02716A}"/>
              </a:ext>
            </a:extLst>
          </xdr:cNvPr>
          <xdr:cNvGrpSpPr/>
        </xdr:nvGrpSpPr>
        <xdr:grpSpPr>
          <a:xfrm>
            <a:off x="2149579" y="5857524"/>
            <a:ext cx="1516297" cy="2389010"/>
            <a:chOff x="222097" y="5842000"/>
            <a:chExt cx="3481673" cy="2389010"/>
          </a:xfrm>
        </xdr:grpSpPr>
        <xdr:grpSp>
          <xdr:nvGrpSpPr>
            <xdr:cNvPr id="49" name="Group 48">
              <a:extLst>
                <a:ext uri="{FF2B5EF4-FFF2-40B4-BE49-F238E27FC236}">
                  <a16:creationId xmlns:a16="http://schemas.microsoft.com/office/drawing/2014/main" id="{9A1DAD74-F7C7-CC65-227E-C1CBDD4740E8}"/>
                </a:ext>
              </a:extLst>
            </xdr:cNvPr>
            <xdr:cNvGrpSpPr/>
          </xdr:nvGrpSpPr>
          <xdr:grpSpPr>
            <a:xfrm>
              <a:off x="222097" y="5842000"/>
              <a:ext cx="3481673" cy="1948745"/>
              <a:chOff x="-31903" y="5898444"/>
              <a:chExt cx="3481673" cy="1948745"/>
            </a:xfrm>
          </xdr:grpSpPr>
          <xdr:sp macro="" textlink="'Pivot Tables'!N4">
            <xdr:nvSpPr>
              <xdr:cNvPr id="51" name="TextBox 50">
                <a:extLst>
                  <a:ext uri="{FF2B5EF4-FFF2-40B4-BE49-F238E27FC236}">
                    <a16:creationId xmlns:a16="http://schemas.microsoft.com/office/drawing/2014/main" id="{E6A6394C-707F-DD3D-271E-F367E87B894F}"/>
                  </a:ext>
                </a:extLst>
              </xdr:cNvPr>
              <xdr:cNvSpPr txBox="1"/>
            </xdr:nvSpPr>
            <xdr:spPr>
              <a:xfrm>
                <a:off x="-31903" y="5898444"/>
                <a:ext cx="3481673"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38E5356-6A6C-4F35-9076-226A665F23CB}" type="TxLink">
                  <a:rPr lang="en-US" sz="1200" b="0" i="0" u="none" strike="noStrike">
                    <a:solidFill>
                      <a:schemeClr val="bg1"/>
                    </a:solidFill>
                    <a:latin typeface="Calibri"/>
                    <a:ea typeface="Calibri"/>
                    <a:cs typeface="Calibri"/>
                  </a:rPr>
                  <a:pPr algn="ctr"/>
                  <a:t>$49,605</a:t>
                </a:fld>
                <a:endParaRPr lang="en-US" sz="1600">
                  <a:solidFill>
                    <a:schemeClr val="bg1"/>
                  </a:solidFill>
                  <a:latin typeface="Avenir Next LT Pro Light" panose="020B0304020202020204" pitchFamily="34" charset="0"/>
                </a:endParaRPr>
              </a:p>
            </xdr:txBody>
          </xdr:sp>
          <xdr:sp macro="" textlink="'Pivot Tables'!N5">
            <xdr:nvSpPr>
              <xdr:cNvPr id="52" name="TextBox 51">
                <a:extLst>
                  <a:ext uri="{FF2B5EF4-FFF2-40B4-BE49-F238E27FC236}">
                    <a16:creationId xmlns:a16="http://schemas.microsoft.com/office/drawing/2014/main" id="{22E15ECB-E25C-8129-1C5A-2DDEDB5DDC45}"/>
                  </a:ext>
                </a:extLst>
              </xdr:cNvPr>
              <xdr:cNvSpPr txBox="1"/>
            </xdr:nvSpPr>
            <xdr:spPr>
              <a:xfrm>
                <a:off x="255409" y="6290380"/>
                <a:ext cx="3176944"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8059036-279B-4E15-AB4D-A6D05B573C1C}" type="TxLink">
                  <a:rPr lang="en-US" sz="1200" b="0" i="0" u="none" strike="noStrike">
                    <a:solidFill>
                      <a:schemeClr val="bg1"/>
                    </a:solidFill>
                    <a:latin typeface="Calibri"/>
                    <a:ea typeface="Calibri"/>
                    <a:cs typeface="Calibri"/>
                  </a:rPr>
                  <a:pPr algn="ctr"/>
                  <a:t>$1,835,200</a:t>
                </a:fld>
                <a:endParaRPr lang="en-US" sz="1600">
                  <a:solidFill>
                    <a:schemeClr val="bg1"/>
                  </a:solidFill>
                  <a:latin typeface="Avenir Next LT Pro Light" panose="020B0304020202020204" pitchFamily="34" charset="0"/>
                </a:endParaRPr>
              </a:p>
            </xdr:txBody>
          </xdr:sp>
          <xdr:sp macro="" textlink="'Pivot Tables'!N6">
            <xdr:nvSpPr>
              <xdr:cNvPr id="53" name="TextBox 52">
                <a:extLst>
                  <a:ext uri="{FF2B5EF4-FFF2-40B4-BE49-F238E27FC236}">
                    <a16:creationId xmlns:a16="http://schemas.microsoft.com/office/drawing/2014/main" id="{481D19E9-8002-F2C2-FDAB-4D94D18CB183}"/>
                  </a:ext>
                </a:extLst>
              </xdr:cNvPr>
              <xdr:cNvSpPr txBox="1"/>
            </xdr:nvSpPr>
            <xdr:spPr>
              <a:xfrm>
                <a:off x="255409" y="6682316"/>
                <a:ext cx="27241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7D76559-FB33-4A75-9B25-6EF6570B204C}" type="TxLink">
                  <a:rPr lang="en-US" sz="1200" b="0" i="0" u="none" strike="noStrike">
                    <a:solidFill>
                      <a:schemeClr val="bg1"/>
                    </a:solidFill>
                    <a:latin typeface="Calibri"/>
                    <a:ea typeface="Calibri"/>
                    <a:cs typeface="Calibri"/>
                  </a:rPr>
                  <a:pPr algn="ctr"/>
                  <a:t>$10,034</a:t>
                </a:fld>
                <a:endParaRPr lang="en-US" sz="1600">
                  <a:solidFill>
                    <a:schemeClr val="bg1"/>
                  </a:solidFill>
                  <a:latin typeface="Avenir Next LT Pro Light" panose="020B0304020202020204" pitchFamily="34" charset="0"/>
                </a:endParaRPr>
              </a:p>
            </xdr:txBody>
          </xdr:sp>
          <xdr:sp macro="" textlink="'Pivot Tables'!N7">
            <xdr:nvSpPr>
              <xdr:cNvPr id="54" name="TextBox 53">
                <a:extLst>
                  <a:ext uri="{FF2B5EF4-FFF2-40B4-BE49-F238E27FC236}">
                    <a16:creationId xmlns:a16="http://schemas.microsoft.com/office/drawing/2014/main" id="{BCB2CEC2-7A70-FCAB-5A32-DE7B13B80986}"/>
                  </a:ext>
                </a:extLst>
              </xdr:cNvPr>
              <xdr:cNvSpPr txBox="1"/>
            </xdr:nvSpPr>
            <xdr:spPr>
              <a:xfrm>
                <a:off x="105853" y="7074252"/>
                <a:ext cx="311750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52303D0-735B-4FCE-B49A-CAD45F49C585}" type="TxLink">
                  <a:rPr lang="en-US" sz="1200" b="0" i="0" u="none" strike="noStrike">
                    <a:solidFill>
                      <a:schemeClr val="bg1"/>
                    </a:solidFill>
                    <a:latin typeface="Calibri"/>
                    <a:ea typeface="Calibri"/>
                    <a:cs typeface="Calibri"/>
                  </a:rPr>
                  <a:pPr algn="ctr"/>
                  <a:t>$78,348</a:t>
                </a:fld>
                <a:endParaRPr lang="en-US" sz="1600">
                  <a:solidFill>
                    <a:schemeClr val="bg1"/>
                  </a:solidFill>
                  <a:latin typeface="Avenir Next LT Pro Light" panose="020B0304020202020204" pitchFamily="34" charset="0"/>
                </a:endParaRPr>
              </a:p>
            </xdr:txBody>
          </xdr:sp>
          <xdr:sp macro="" textlink="'Pivot Tables'!N8">
            <xdr:nvSpPr>
              <xdr:cNvPr id="55" name="TextBox 54">
                <a:extLst>
                  <a:ext uri="{FF2B5EF4-FFF2-40B4-BE49-F238E27FC236}">
                    <a16:creationId xmlns:a16="http://schemas.microsoft.com/office/drawing/2014/main" id="{0BB0A5F0-B79C-59B3-A745-4494302AC227}"/>
                  </a:ext>
                </a:extLst>
              </xdr:cNvPr>
              <xdr:cNvSpPr txBox="1"/>
            </xdr:nvSpPr>
            <xdr:spPr>
              <a:xfrm>
                <a:off x="255411" y="7466189"/>
                <a:ext cx="2741538"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F9B03C8-D358-4CF0-BBD3-1764310A6406}" type="TxLink">
                  <a:rPr lang="en-US" sz="1200" b="0" i="0" u="none" strike="noStrike">
                    <a:solidFill>
                      <a:schemeClr val="bg1"/>
                    </a:solidFill>
                    <a:latin typeface="Calibri"/>
                    <a:ea typeface="Calibri"/>
                    <a:cs typeface="Calibri"/>
                  </a:rPr>
                  <a:pPr algn="ctr"/>
                  <a:t>$40,000</a:t>
                </a:fld>
                <a:endParaRPr lang="en-US" sz="1600">
                  <a:solidFill>
                    <a:schemeClr val="bg1"/>
                  </a:solidFill>
                  <a:latin typeface="Avenir Next LT Pro Light" panose="020B0304020202020204" pitchFamily="34" charset="0"/>
                </a:endParaRPr>
              </a:p>
            </xdr:txBody>
          </xdr:sp>
        </xdr:grpSp>
        <xdr:sp macro="" textlink="'Pivot Tables'!N9">
          <xdr:nvSpPr>
            <xdr:cNvPr id="50" name="TextBox 49">
              <a:extLst>
                <a:ext uri="{FF2B5EF4-FFF2-40B4-BE49-F238E27FC236}">
                  <a16:creationId xmlns:a16="http://schemas.microsoft.com/office/drawing/2014/main" id="{DB7374DB-18DF-9265-E8B8-EE416640479E}"/>
                </a:ext>
              </a:extLst>
            </xdr:cNvPr>
            <xdr:cNvSpPr txBox="1"/>
          </xdr:nvSpPr>
          <xdr:spPr>
            <a:xfrm>
              <a:off x="419511" y="7850010"/>
              <a:ext cx="308684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A97110B-5372-428F-ADF0-8AED706DD69F}" type="TxLink">
                <a:rPr lang="en-US" sz="1200" b="0" i="0" u="none" strike="noStrike">
                  <a:solidFill>
                    <a:schemeClr val="bg1"/>
                  </a:solidFill>
                  <a:latin typeface="Calibri"/>
                  <a:ea typeface="Calibri"/>
                  <a:cs typeface="Calibri"/>
                </a:rPr>
                <a:pPr algn="ctr"/>
                <a:t>$111,769</a:t>
              </a:fld>
              <a:endParaRPr lang="en-US" sz="1600">
                <a:solidFill>
                  <a:schemeClr val="bg1"/>
                </a:solidFill>
                <a:latin typeface="Avenir Next LT Pro Light" panose="020B0304020202020204" pitchFamily="34" charset="0"/>
              </a:endParaRPr>
            </a:p>
          </xdr:txBody>
        </xdr:sp>
      </xdr:grpSp>
      <xdr:grpSp>
        <xdr:nvGrpSpPr>
          <xdr:cNvPr id="62" name="Group 61">
            <a:extLst>
              <a:ext uri="{FF2B5EF4-FFF2-40B4-BE49-F238E27FC236}">
                <a16:creationId xmlns:a16="http://schemas.microsoft.com/office/drawing/2014/main" id="{311EECCB-621B-9F40-5754-5AF0003C01D3}"/>
              </a:ext>
            </a:extLst>
          </xdr:cNvPr>
          <xdr:cNvGrpSpPr/>
        </xdr:nvGrpSpPr>
        <xdr:grpSpPr>
          <a:xfrm>
            <a:off x="330197" y="5792611"/>
            <a:ext cx="239893" cy="2333980"/>
            <a:chOff x="330197" y="5792611"/>
            <a:chExt cx="239893" cy="2333980"/>
          </a:xfrm>
        </xdr:grpSpPr>
        <xdr:sp macro="" textlink="'Pivot Tables'!N4">
          <xdr:nvSpPr>
            <xdr:cNvPr id="56" name="TextBox 55">
              <a:extLst>
                <a:ext uri="{FF2B5EF4-FFF2-40B4-BE49-F238E27FC236}">
                  <a16:creationId xmlns:a16="http://schemas.microsoft.com/office/drawing/2014/main" id="{77CA53BB-0A69-49EA-9425-B1F29435E206}"/>
                </a:ext>
              </a:extLst>
            </xdr:cNvPr>
            <xdr:cNvSpPr txBox="1"/>
          </xdr:nvSpPr>
          <xdr:spPr>
            <a:xfrm>
              <a:off x="330197" y="5792611"/>
              <a:ext cx="239893" cy="3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solidFill>
                    <a:srgbClr val="FF0000"/>
                  </a:solidFill>
                  <a:latin typeface="Avenir Next LT Pro Light" panose="020B0304020202020204" pitchFamily="34" charset="0"/>
                </a:rPr>
                <a:t>•</a:t>
              </a:r>
            </a:p>
          </xdr:txBody>
        </xdr:sp>
        <xdr:sp macro="" textlink="'Pivot Tables'!N4">
          <xdr:nvSpPr>
            <xdr:cNvPr id="57" name="TextBox 56">
              <a:extLst>
                <a:ext uri="{FF2B5EF4-FFF2-40B4-BE49-F238E27FC236}">
                  <a16:creationId xmlns:a16="http://schemas.microsoft.com/office/drawing/2014/main" id="{C835CFF0-199B-4886-BFEB-A557EA7B0EC9}"/>
                </a:ext>
              </a:extLst>
            </xdr:cNvPr>
            <xdr:cNvSpPr txBox="1"/>
          </xdr:nvSpPr>
          <xdr:spPr>
            <a:xfrm>
              <a:off x="330197" y="6199011"/>
              <a:ext cx="239893" cy="3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solidFill>
                    <a:srgbClr val="FF0000"/>
                  </a:solidFill>
                  <a:latin typeface="Avenir Next LT Pro Light" panose="020B0304020202020204" pitchFamily="34" charset="0"/>
                </a:rPr>
                <a:t>•</a:t>
              </a:r>
            </a:p>
          </xdr:txBody>
        </xdr:sp>
        <xdr:sp macro="" textlink="'Pivot Tables'!N4">
          <xdr:nvSpPr>
            <xdr:cNvPr id="58" name="TextBox 57">
              <a:extLst>
                <a:ext uri="{FF2B5EF4-FFF2-40B4-BE49-F238E27FC236}">
                  <a16:creationId xmlns:a16="http://schemas.microsoft.com/office/drawing/2014/main" id="{706EA84F-7524-47A3-AFDE-34B973F05446}"/>
                </a:ext>
              </a:extLst>
            </xdr:cNvPr>
            <xdr:cNvSpPr txBox="1"/>
          </xdr:nvSpPr>
          <xdr:spPr>
            <a:xfrm>
              <a:off x="330197" y="6605411"/>
              <a:ext cx="239893" cy="3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solidFill>
                    <a:srgbClr val="FF0000"/>
                  </a:solidFill>
                  <a:latin typeface="Avenir Next LT Pro Light" panose="020B0304020202020204" pitchFamily="34" charset="0"/>
                </a:rPr>
                <a:t>•</a:t>
              </a:r>
            </a:p>
          </xdr:txBody>
        </xdr:sp>
        <xdr:sp macro="" textlink="'Pivot Tables'!N4">
          <xdr:nvSpPr>
            <xdr:cNvPr id="59" name="TextBox 58">
              <a:extLst>
                <a:ext uri="{FF2B5EF4-FFF2-40B4-BE49-F238E27FC236}">
                  <a16:creationId xmlns:a16="http://schemas.microsoft.com/office/drawing/2014/main" id="{8EE6978D-ACB3-4AAB-85E7-C122845C3DA3}"/>
                </a:ext>
              </a:extLst>
            </xdr:cNvPr>
            <xdr:cNvSpPr txBox="1"/>
          </xdr:nvSpPr>
          <xdr:spPr>
            <a:xfrm>
              <a:off x="330197" y="7011811"/>
              <a:ext cx="239893" cy="3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solidFill>
                    <a:srgbClr val="FF0000"/>
                  </a:solidFill>
                  <a:latin typeface="Avenir Next LT Pro Light" panose="020B0304020202020204" pitchFamily="34" charset="0"/>
                </a:rPr>
                <a:t>•</a:t>
              </a:r>
            </a:p>
          </xdr:txBody>
        </xdr:sp>
        <xdr:sp macro="" textlink="'Pivot Tables'!N4">
          <xdr:nvSpPr>
            <xdr:cNvPr id="60" name="TextBox 59">
              <a:extLst>
                <a:ext uri="{FF2B5EF4-FFF2-40B4-BE49-F238E27FC236}">
                  <a16:creationId xmlns:a16="http://schemas.microsoft.com/office/drawing/2014/main" id="{23E0989A-E0FC-4027-B90F-E3FD1945D26E}"/>
                </a:ext>
              </a:extLst>
            </xdr:cNvPr>
            <xdr:cNvSpPr txBox="1"/>
          </xdr:nvSpPr>
          <xdr:spPr>
            <a:xfrm>
              <a:off x="330197" y="7418211"/>
              <a:ext cx="239893" cy="3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solidFill>
                    <a:srgbClr val="FF0000"/>
                  </a:solidFill>
                  <a:latin typeface="Avenir Next LT Pro Light" panose="020B0304020202020204" pitchFamily="34" charset="0"/>
                </a:rPr>
                <a:t>•</a:t>
              </a:r>
            </a:p>
          </xdr:txBody>
        </xdr:sp>
        <xdr:sp macro="" textlink="'Pivot Tables'!N4">
          <xdr:nvSpPr>
            <xdr:cNvPr id="61" name="TextBox 60">
              <a:extLst>
                <a:ext uri="{FF2B5EF4-FFF2-40B4-BE49-F238E27FC236}">
                  <a16:creationId xmlns:a16="http://schemas.microsoft.com/office/drawing/2014/main" id="{185C4C7F-5598-4235-9F3F-C6691A896CC8}"/>
                </a:ext>
              </a:extLst>
            </xdr:cNvPr>
            <xdr:cNvSpPr txBox="1"/>
          </xdr:nvSpPr>
          <xdr:spPr>
            <a:xfrm>
              <a:off x="330197" y="7824611"/>
              <a:ext cx="239893" cy="3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solidFill>
                    <a:srgbClr val="FF0000"/>
                  </a:solidFill>
                  <a:latin typeface="Avenir Next LT Pro Light" panose="020B0304020202020204" pitchFamily="34" charset="0"/>
                </a:rPr>
                <a:t>•</a:t>
              </a:r>
            </a:p>
          </xdr:txBody>
        </xdr:sp>
      </xdr:grpSp>
    </xdr:grpSp>
    <xdr:clientData/>
  </xdr:twoCellAnchor>
  <xdr:twoCellAnchor>
    <xdr:from>
      <xdr:col>20</xdr:col>
      <xdr:colOff>433922</xdr:colOff>
      <xdr:row>3</xdr:row>
      <xdr:rowOff>7760</xdr:rowOff>
    </xdr:from>
    <xdr:to>
      <xdr:col>23</xdr:col>
      <xdr:colOff>49749</xdr:colOff>
      <xdr:row>9</xdr:row>
      <xdr:rowOff>171549</xdr:rowOff>
    </xdr:to>
    <xdr:grpSp>
      <xdr:nvGrpSpPr>
        <xdr:cNvPr id="69" name="Group 68">
          <a:extLst>
            <a:ext uri="{FF2B5EF4-FFF2-40B4-BE49-F238E27FC236}">
              <a16:creationId xmlns:a16="http://schemas.microsoft.com/office/drawing/2014/main" id="{859A12F6-7B68-B06F-00CA-879742DE8D41}"/>
            </a:ext>
          </a:extLst>
        </xdr:cNvPr>
        <xdr:cNvGrpSpPr/>
      </xdr:nvGrpSpPr>
      <xdr:grpSpPr>
        <a:xfrm>
          <a:off x="13699072" y="611010"/>
          <a:ext cx="1587502" cy="1360764"/>
          <a:chOff x="13991794" y="1312332"/>
          <a:chExt cx="1074907" cy="999939"/>
        </a:xfrm>
      </xdr:grpSpPr>
      <xdr:sp macro="" textlink="">
        <xdr:nvSpPr>
          <xdr:cNvPr id="64" name="Rectangle: Rounded Corners 63">
            <a:extLst>
              <a:ext uri="{FF2B5EF4-FFF2-40B4-BE49-F238E27FC236}">
                <a16:creationId xmlns:a16="http://schemas.microsoft.com/office/drawing/2014/main" id="{C0C786A4-3809-F75B-C5A2-9D65EF5ADCFD}"/>
              </a:ext>
            </a:extLst>
          </xdr:cNvPr>
          <xdr:cNvSpPr/>
        </xdr:nvSpPr>
        <xdr:spPr>
          <a:xfrm>
            <a:off x="14118167" y="1312332"/>
            <a:ext cx="874889" cy="987779"/>
          </a:xfrm>
          <a:prstGeom prst="roundRect">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5" name="TextBox 64">
            <a:extLst>
              <a:ext uri="{FF2B5EF4-FFF2-40B4-BE49-F238E27FC236}">
                <a16:creationId xmlns:a16="http://schemas.microsoft.com/office/drawing/2014/main" id="{70050ECF-2050-44A5-ABDF-821233D800A4}"/>
              </a:ext>
            </a:extLst>
          </xdr:cNvPr>
          <xdr:cNvSpPr txBox="1"/>
        </xdr:nvSpPr>
        <xdr:spPr>
          <a:xfrm>
            <a:off x="14120073" y="1879059"/>
            <a:ext cx="870655" cy="433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latin typeface="Avenir Next LT Pro Light" panose="020B0304020202020204" pitchFamily="34" charset="0"/>
              </a:rPr>
              <a:t>Average</a:t>
            </a:r>
            <a:r>
              <a:rPr lang="en-US" sz="1400" b="1">
                <a:solidFill>
                  <a:schemeClr val="bg1"/>
                </a:solidFill>
                <a:latin typeface="Avenir Next LT Pro Light" panose="020B0304020202020204" pitchFamily="34" charset="0"/>
              </a:rPr>
              <a:t> </a:t>
            </a:r>
            <a:r>
              <a:rPr lang="en-US" sz="800" b="1">
                <a:solidFill>
                  <a:schemeClr val="bg1"/>
                </a:solidFill>
                <a:latin typeface="Avenir Next LT Pro Light" panose="020B0304020202020204" pitchFamily="34" charset="0"/>
              </a:rPr>
              <a:t>Monthly Expenses</a:t>
            </a:r>
            <a:endParaRPr lang="en-US" sz="1400" b="1">
              <a:solidFill>
                <a:schemeClr val="bg1"/>
              </a:solidFill>
              <a:latin typeface="Avenir Next LT Pro Light" panose="020B0304020202020204" pitchFamily="34" charset="0"/>
              <a:cs typeface="Arial" panose="020B0604020202020204" pitchFamily="34" charset="0"/>
            </a:endParaRPr>
          </a:p>
        </xdr:txBody>
      </xdr:sp>
      <xdr:sp macro="" textlink="'Pivot Tables'!AD4">
        <xdr:nvSpPr>
          <xdr:cNvPr id="66" name="TextBox 65">
            <a:extLst>
              <a:ext uri="{FF2B5EF4-FFF2-40B4-BE49-F238E27FC236}">
                <a16:creationId xmlns:a16="http://schemas.microsoft.com/office/drawing/2014/main" id="{3A0431C4-8C47-4258-9D45-A551E925F89C}"/>
              </a:ext>
            </a:extLst>
          </xdr:cNvPr>
          <xdr:cNvSpPr txBox="1"/>
        </xdr:nvSpPr>
        <xdr:spPr>
          <a:xfrm>
            <a:off x="13991794" y="1633140"/>
            <a:ext cx="1074907" cy="2681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2568FDC-2E4C-4721-9D48-70F6070F73F6}" type="TxLink">
              <a:rPr lang="en-US" sz="1800" b="1" i="0" u="none" strike="noStrike">
                <a:solidFill>
                  <a:schemeClr val="bg2"/>
                </a:solidFill>
                <a:latin typeface="Avenir Next LT Pro Light" panose="020B0304020202020204" pitchFamily="34" charset="0"/>
                <a:ea typeface="Calibri"/>
                <a:cs typeface="Calibri"/>
              </a:rPr>
              <a:pPr algn="ctr"/>
              <a:t>$265,620</a:t>
            </a:fld>
            <a:endParaRPr lang="en-US" sz="1600" b="1">
              <a:solidFill>
                <a:schemeClr val="bg2"/>
              </a:solidFill>
              <a:latin typeface="Avenir Next LT Pro Light" panose="020B0304020202020204" pitchFamily="34" charset="0"/>
              <a:cs typeface="Arial" panose="020B0604020202020204" pitchFamily="34" charset="0"/>
            </a:endParaRPr>
          </a:p>
        </xdr:txBody>
      </xdr:sp>
      <xdr:sp macro="" textlink="'Pivot Tables'!AD4">
        <xdr:nvSpPr>
          <xdr:cNvPr id="67" name="TextBox 66">
            <a:extLst>
              <a:ext uri="{FF2B5EF4-FFF2-40B4-BE49-F238E27FC236}">
                <a16:creationId xmlns:a16="http://schemas.microsoft.com/office/drawing/2014/main" id="{6A1EEBD7-D594-46BA-A28B-D368046A573E}"/>
              </a:ext>
            </a:extLst>
          </xdr:cNvPr>
          <xdr:cNvSpPr txBox="1"/>
        </xdr:nvSpPr>
        <xdr:spPr>
          <a:xfrm>
            <a:off x="14164735" y="1330680"/>
            <a:ext cx="355598" cy="249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FFC000"/>
                </a:solidFill>
                <a:latin typeface="Avenir Next LT Pro Light" panose="020B0304020202020204" pitchFamily="34" charset="0"/>
                <a:cs typeface="Arial" panose="020B0604020202020204" pitchFamily="34" charset="0"/>
              </a:rPr>
              <a:t>Ω</a:t>
            </a:r>
          </a:p>
        </xdr:txBody>
      </xdr:sp>
    </xdr:grpSp>
    <xdr:clientData/>
  </xdr:twoCellAnchor>
  <xdr:twoCellAnchor>
    <xdr:from>
      <xdr:col>20</xdr:col>
      <xdr:colOff>331596</xdr:colOff>
      <xdr:row>10</xdr:row>
      <xdr:rowOff>74786</xdr:rowOff>
    </xdr:from>
    <xdr:to>
      <xdr:col>23</xdr:col>
      <xdr:colOff>303377</xdr:colOff>
      <xdr:row>24</xdr:row>
      <xdr:rowOff>84665</xdr:rowOff>
    </xdr:to>
    <xdr:grpSp>
      <xdr:nvGrpSpPr>
        <xdr:cNvPr id="90" name="Group 89">
          <a:extLst>
            <a:ext uri="{FF2B5EF4-FFF2-40B4-BE49-F238E27FC236}">
              <a16:creationId xmlns:a16="http://schemas.microsoft.com/office/drawing/2014/main" id="{2C0B5E0E-3E9A-371F-F72D-316040D4E0EE}"/>
            </a:ext>
          </a:extLst>
        </xdr:cNvPr>
        <xdr:cNvGrpSpPr/>
      </xdr:nvGrpSpPr>
      <xdr:grpSpPr>
        <a:xfrm>
          <a:off x="13603096" y="2103611"/>
          <a:ext cx="1940281" cy="2813404"/>
          <a:chOff x="13649867" y="2332565"/>
          <a:chExt cx="1964961" cy="2803879"/>
        </a:xfrm>
      </xdr:grpSpPr>
      <xdr:sp macro="" textlink="">
        <xdr:nvSpPr>
          <xdr:cNvPr id="70" name="Rectangle: Rounded Corners 69">
            <a:extLst>
              <a:ext uri="{FF2B5EF4-FFF2-40B4-BE49-F238E27FC236}">
                <a16:creationId xmlns:a16="http://schemas.microsoft.com/office/drawing/2014/main" id="{A2EEAB6D-A36A-4608-9FA2-C36B8CA9D532}"/>
              </a:ext>
            </a:extLst>
          </xdr:cNvPr>
          <xdr:cNvSpPr/>
        </xdr:nvSpPr>
        <xdr:spPr>
          <a:xfrm>
            <a:off x="13950849" y="2332565"/>
            <a:ext cx="1337267" cy="2803879"/>
          </a:xfrm>
          <a:prstGeom prst="roundRect">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1" name="TextBox 70">
            <a:extLst>
              <a:ext uri="{FF2B5EF4-FFF2-40B4-BE49-F238E27FC236}">
                <a16:creationId xmlns:a16="http://schemas.microsoft.com/office/drawing/2014/main" id="{E840C19E-09AB-47D4-858D-D10C4C75714C}"/>
              </a:ext>
            </a:extLst>
          </xdr:cNvPr>
          <xdr:cNvSpPr txBox="1"/>
        </xdr:nvSpPr>
        <xdr:spPr>
          <a:xfrm>
            <a:off x="13858103" y="2370664"/>
            <a:ext cx="1520600" cy="536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latin typeface="Avenir Next LT Pro" panose="020B0504020202020204" pitchFamily="34" charset="0"/>
              </a:rPr>
              <a:t>Operating</a:t>
            </a:r>
            <a:r>
              <a:rPr lang="en-US" sz="1050" b="1">
                <a:solidFill>
                  <a:schemeClr val="bg1"/>
                </a:solidFill>
                <a:latin typeface="Avenir Next LT Pro" panose="020B0504020202020204" pitchFamily="34" charset="0"/>
              </a:rPr>
              <a:t> Profit</a:t>
            </a:r>
            <a:endParaRPr lang="en-US" sz="1050" b="1">
              <a:solidFill>
                <a:schemeClr val="bg1"/>
              </a:solidFill>
              <a:latin typeface="Avenir Next LT Pro" panose="020B0504020202020204" pitchFamily="34" charset="0"/>
              <a:cs typeface="Arial" panose="020B0604020202020204" pitchFamily="34" charset="0"/>
            </a:endParaRPr>
          </a:p>
        </xdr:txBody>
      </xdr:sp>
      <xdr:graphicFrame macro="">
        <xdr:nvGraphicFramePr>
          <xdr:cNvPr id="72" name="Chart 71">
            <a:extLst>
              <a:ext uri="{FF2B5EF4-FFF2-40B4-BE49-F238E27FC236}">
                <a16:creationId xmlns:a16="http://schemas.microsoft.com/office/drawing/2014/main" id="{88D0988C-62A0-473F-A0C4-1B2EDE0D671C}"/>
              </a:ext>
            </a:extLst>
          </xdr:cNvPr>
          <xdr:cNvGraphicFramePr>
            <a:graphicFrameLocks/>
          </xdr:cNvGraphicFramePr>
        </xdr:nvGraphicFramePr>
        <xdr:xfrm>
          <a:off x="13979658" y="2617605"/>
          <a:ext cx="1563740" cy="2159001"/>
        </xdr:xfrm>
        <a:graphic>
          <a:graphicData uri="http://schemas.openxmlformats.org/drawingml/2006/chart">
            <c:chart xmlns:c="http://schemas.openxmlformats.org/drawingml/2006/chart" xmlns:r="http://schemas.openxmlformats.org/officeDocument/2006/relationships" r:id="rId10"/>
          </a:graphicData>
        </a:graphic>
      </xdr:graphicFrame>
      <xdr:sp macro="" textlink="'Pivot Tables'!AI4">
        <xdr:nvSpPr>
          <xdr:cNvPr id="73" name="TextBox 72">
            <a:extLst>
              <a:ext uri="{FF2B5EF4-FFF2-40B4-BE49-F238E27FC236}">
                <a16:creationId xmlns:a16="http://schemas.microsoft.com/office/drawing/2014/main" id="{60E001D7-CB85-463B-8CBA-5B0792DD3F6F}"/>
              </a:ext>
            </a:extLst>
          </xdr:cNvPr>
          <xdr:cNvSpPr txBox="1"/>
        </xdr:nvSpPr>
        <xdr:spPr>
          <a:xfrm>
            <a:off x="13649867" y="4621462"/>
            <a:ext cx="1964961" cy="479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C770D51-BB70-4ECC-B162-65B97597A519}" type="TxLink">
              <a:rPr lang="en-US" sz="1600" b="1" i="0" u="none" strike="noStrike">
                <a:solidFill>
                  <a:schemeClr val="accent4">
                    <a:lumMod val="60000"/>
                    <a:lumOff val="40000"/>
                  </a:schemeClr>
                </a:solidFill>
                <a:latin typeface="Avenir Next LT Pro" panose="020B0504020202020204" pitchFamily="34" charset="0"/>
                <a:ea typeface="Calibri" panose="020F0502020204030204" pitchFamily="34" charset="0"/>
                <a:cs typeface="Calibri" panose="020F0502020204030204" pitchFamily="34" charset="0"/>
              </a:rPr>
              <a:pPr algn="ctr"/>
              <a:t>$182,454</a:t>
            </a:fld>
            <a:endParaRPr lang="en-US" sz="1600" b="1">
              <a:solidFill>
                <a:schemeClr val="accent4">
                  <a:lumMod val="60000"/>
                  <a:lumOff val="40000"/>
                </a:schemeClr>
              </a:solidFill>
              <a:latin typeface="Avenir Next LT Pro" panose="020B0504020202020204" pitchFamily="34" charset="0"/>
              <a:ea typeface="Calibri" panose="020F0502020204030204" pitchFamily="34" charset="0"/>
              <a:cs typeface="Calibri" panose="020F0502020204030204" pitchFamily="34" charset="0"/>
            </a:endParaRPr>
          </a:p>
        </xdr:txBody>
      </xdr:sp>
    </xdr:grpSp>
    <xdr:clientData/>
  </xdr:twoCellAnchor>
  <xdr:twoCellAnchor>
    <xdr:from>
      <xdr:col>20</xdr:col>
      <xdr:colOff>239891</xdr:colOff>
      <xdr:row>24</xdr:row>
      <xdr:rowOff>196496</xdr:rowOff>
    </xdr:from>
    <xdr:to>
      <xdr:col>23</xdr:col>
      <xdr:colOff>444508</xdr:colOff>
      <xdr:row>37</xdr:row>
      <xdr:rowOff>126999</xdr:rowOff>
    </xdr:to>
    <xdr:grpSp>
      <xdr:nvGrpSpPr>
        <xdr:cNvPr id="89" name="Group 88">
          <a:extLst>
            <a:ext uri="{FF2B5EF4-FFF2-40B4-BE49-F238E27FC236}">
              <a16:creationId xmlns:a16="http://schemas.microsoft.com/office/drawing/2014/main" id="{749D6509-07DE-6C42-1A21-EC4947CBE391}"/>
            </a:ext>
          </a:extLst>
        </xdr:cNvPr>
        <xdr:cNvGrpSpPr/>
      </xdr:nvGrpSpPr>
      <xdr:grpSpPr>
        <a:xfrm>
          <a:off x="13505041" y="5028846"/>
          <a:ext cx="2182642" cy="2524478"/>
          <a:chOff x="13553723" y="5241219"/>
          <a:chExt cx="2194284" cy="2498725"/>
        </a:xfrm>
      </xdr:grpSpPr>
      <xdr:sp macro="" textlink="">
        <xdr:nvSpPr>
          <xdr:cNvPr id="75" name="Rectangle: Rounded Corners 74">
            <a:extLst>
              <a:ext uri="{FF2B5EF4-FFF2-40B4-BE49-F238E27FC236}">
                <a16:creationId xmlns:a16="http://schemas.microsoft.com/office/drawing/2014/main" id="{293EC057-93F3-45E9-AEE4-44577B2133FB}"/>
              </a:ext>
            </a:extLst>
          </xdr:cNvPr>
          <xdr:cNvSpPr/>
        </xdr:nvSpPr>
        <xdr:spPr>
          <a:xfrm>
            <a:off x="14008122" y="5241219"/>
            <a:ext cx="1286433" cy="2498725"/>
          </a:xfrm>
          <a:prstGeom prst="roundRect">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4" name="Chart 73">
            <a:extLst>
              <a:ext uri="{FF2B5EF4-FFF2-40B4-BE49-F238E27FC236}">
                <a16:creationId xmlns:a16="http://schemas.microsoft.com/office/drawing/2014/main" id="{855F54E1-00BB-48E8-9CF0-1F89E7AF477F}"/>
              </a:ext>
            </a:extLst>
          </xdr:cNvPr>
          <xdr:cNvGraphicFramePr>
            <a:graphicFrameLocks/>
          </xdr:cNvGraphicFramePr>
        </xdr:nvGraphicFramePr>
        <xdr:xfrm>
          <a:off x="13553723" y="5806722"/>
          <a:ext cx="2194284" cy="1397000"/>
        </xdr:xfrm>
        <a:graphic>
          <a:graphicData uri="http://schemas.openxmlformats.org/drawingml/2006/chart">
            <c:chart xmlns:c="http://schemas.openxmlformats.org/drawingml/2006/chart" xmlns:r="http://schemas.openxmlformats.org/officeDocument/2006/relationships" r:id="rId11"/>
          </a:graphicData>
        </a:graphic>
      </xdr:graphicFrame>
      <xdr:sp macro="" textlink="'Pivot Tables'!AQ3">
        <xdr:nvSpPr>
          <xdr:cNvPr id="76" name="TextBox 75">
            <a:extLst>
              <a:ext uri="{FF2B5EF4-FFF2-40B4-BE49-F238E27FC236}">
                <a16:creationId xmlns:a16="http://schemas.microsoft.com/office/drawing/2014/main" id="{2377410B-4765-4E1C-B069-C7B04F5FF464}"/>
              </a:ext>
            </a:extLst>
          </xdr:cNvPr>
          <xdr:cNvSpPr txBox="1"/>
        </xdr:nvSpPr>
        <xdr:spPr>
          <a:xfrm>
            <a:off x="13950957" y="5682812"/>
            <a:ext cx="1347173" cy="283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57BA067-AC46-4976-BF5E-66B31DE06F5D}" type="TxLink">
              <a:rPr lang="en-US" sz="1200" b="0" i="0" u="none" strike="noStrike">
                <a:solidFill>
                  <a:schemeClr val="bg1"/>
                </a:solidFill>
                <a:latin typeface="Calibri"/>
                <a:ea typeface="Calibri"/>
                <a:cs typeface="Calibri"/>
              </a:rPr>
              <a:pPr algn="ctr"/>
              <a:t>$10,034</a:t>
            </a:fld>
            <a:endParaRPr lang="en-US" sz="1100" b="0">
              <a:solidFill>
                <a:schemeClr val="bg1"/>
              </a:solidFill>
              <a:latin typeface="Avenir Next LT Pro" panose="020B0504020202020204" pitchFamily="34" charset="0"/>
              <a:ea typeface="Calibri" panose="020F0502020204030204" pitchFamily="34" charset="0"/>
              <a:cs typeface="Calibri" panose="020F0502020204030204" pitchFamily="34" charset="0"/>
            </a:endParaRPr>
          </a:p>
        </xdr:txBody>
      </xdr:sp>
      <xdr:sp macro="" textlink="'Pivot Tables'!AQ4">
        <xdr:nvSpPr>
          <xdr:cNvPr id="77" name="TextBox 76">
            <a:extLst>
              <a:ext uri="{FF2B5EF4-FFF2-40B4-BE49-F238E27FC236}">
                <a16:creationId xmlns:a16="http://schemas.microsoft.com/office/drawing/2014/main" id="{5C1AA75F-7313-4D5A-AA04-CE7E66A14745}"/>
              </a:ext>
            </a:extLst>
          </xdr:cNvPr>
          <xdr:cNvSpPr txBox="1"/>
        </xdr:nvSpPr>
        <xdr:spPr>
          <a:xfrm>
            <a:off x="13939259" y="7024238"/>
            <a:ext cx="1347173" cy="2829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8F900FB-FAF1-4050-BBF5-1B63C073AE9D}" type="TxLink">
              <a:rPr lang="en-US" sz="1200" b="0" i="0" u="none" strike="noStrike">
                <a:solidFill>
                  <a:schemeClr val="bg1"/>
                </a:solidFill>
                <a:latin typeface="Calibri"/>
                <a:ea typeface="Calibri"/>
                <a:cs typeface="Calibri"/>
              </a:rPr>
              <a:pPr algn="ctr"/>
              <a:t>$2,114,922</a:t>
            </a:fld>
            <a:endParaRPr lang="en-US" sz="1100" b="0">
              <a:solidFill>
                <a:schemeClr val="bg1"/>
              </a:solidFill>
              <a:latin typeface="Avenir Next LT Pro" panose="020B0504020202020204" pitchFamily="34" charset="0"/>
              <a:ea typeface="Calibri" panose="020F0502020204030204" pitchFamily="34" charset="0"/>
              <a:cs typeface="Calibri" panose="020F0502020204030204" pitchFamily="34" charset="0"/>
            </a:endParaRPr>
          </a:p>
        </xdr:txBody>
      </xdr:sp>
      <xdr:sp macro="" textlink="'Pivot Tables'!AR4">
        <xdr:nvSpPr>
          <xdr:cNvPr id="78" name="TextBox 77">
            <a:extLst>
              <a:ext uri="{FF2B5EF4-FFF2-40B4-BE49-F238E27FC236}">
                <a16:creationId xmlns:a16="http://schemas.microsoft.com/office/drawing/2014/main" id="{B7203759-AD62-4938-B01F-410CD0FE77DD}"/>
              </a:ext>
            </a:extLst>
          </xdr:cNvPr>
          <xdr:cNvSpPr txBox="1"/>
        </xdr:nvSpPr>
        <xdr:spPr>
          <a:xfrm>
            <a:off x="13965963" y="7200525"/>
            <a:ext cx="1347173" cy="282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9BC0245-BD01-4FE5-9DD5-75DCECAD9AAE}" type="TxLink">
              <a:rPr lang="en-US" sz="1200" b="0" i="0" u="none" strike="noStrike">
                <a:solidFill>
                  <a:schemeClr val="bg1"/>
                </a:solidFill>
                <a:latin typeface="Calibri"/>
                <a:ea typeface="Calibri"/>
                <a:cs typeface="Calibri"/>
              </a:rPr>
              <a:pPr algn="ctr"/>
              <a:t>99.53%</a:t>
            </a:fld>
            <a:endParaRPr lang="en-US" sz="1100" b="0">
              <a:solidFill>
                <a:schemeClr val="bg1"/>
              </a:solidFill>
              <a:latin typeface="Avenir Next LT Pro" panose="020B0504020202020204" pitchFamily="34" charset="0"/>
              <a:ea typeface="Calibri" panose="020F0502020204030204" pitchFamily="34" charset="0"/>
              <a:cs typeface="Calibri" panose="020F0502020204030204" pitchFamily="34" charset="0"/>
            </a:endParaRPr>
          </a:p>
        </xdr:txBody>
      </xdr:sp>
      <xdr:sp macro="" textlink="'Pivot Tables'!AR3">
        <xdr:nvSpPr>
          <xdr:cNvPr id="79" name="TextBox 78">
            <a:extLst>
              <a:ext uri="{FF2B5EF4-FFF2-40B4-BE49-F238E27FC236}">
                <a16:creationId xmlns:a16="http://schemas.microsoft.com/office/drawing/2014/main" id="{F82CC8AC-33CE-4F25-8B38-B8453840214A}"/>
              </a:ext>
            </a:extLst>
          </xdr:cNvPr>
          <xdr:cNvSpPr txBox="1"/>
        </xdr:nvSpPr>
        <xdr:spPr>
          <a:xfrm>
            <a:off x="13946939" y="5505873"/>
            <a:ext cx="1347173" cy="282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7387651-A534-4437-924A-450BCDD9EF9B}" type="TxLink">
              <a:rPr lang="en-US" sz="1200" b="0" i="0" u="none" strike="noStrike">
                <a:solidFill>
                  <a:schemeClr val="bg1"/>
                </a:solidFill>
                <a:latin typeface="Calibri"/>
                <a:ea typeface="Calibri"/>
                <a:cs typeface="Calibri"/>
              </a:rPr>
              <a:pPr algn="ctr"/>
              <a:t>0.47%</a:t>
            </a:fld>
            <a:endParaRPr lang="en-US" sz="1100" b="0">
              <a:solidFill>
                <a:schemeClr val="bg1"/>
              </a:solidFill>
              <a:latin typeface="Avenir Next LT Pro" panose="020B0504020202020204" pitchFamily="34" charset="0"/>
              <a:ea typeface="Calibri" panose="020F0502020204030204" pitchFamily="34" charset="0"/>
              <a:cs typeface="Calibri" panose="020F0502020204030204" pitchFamily="34" charset="0"/>
            </a:endParaRPr>
          </a:p>
        </xdr:txBody>
      </xdr:sp>
      <xdr:sp macro="" textlink="">
        <xdr:nvSpPr>
          <xdr:cNvPr id="80" name="TextBox 79">
            <a:extLst>
              <a:ext uri="{FF2B5EF4-FFF2-40B4-BE49-F238E27FC236}">
                <a16:creationId xmlns:a16="http://schemas.microsoft.com/office/drawing/2014/main" id="{65C1E8B3-8CA7-42B6-B1FB-0DCC13228D25}"/>
              </a:ext>
            </a:extLst>
          </xdr:cNvPr>
          <xdr:cNvSpPr txBox="1"/>
        </xdr:nvSpPr>
        <xdr:spPr>
          <a:xfrm>
            <a:off x="14236367" y="5298264"/>
            <a:ext cx="720509" cy="2546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chemeClr val="bg1"/>
                </a:solidFill>
                <a:latin typeface="Avenir Next LT Pro Light" panose="020B0304020202020204" pitchFamily="34" charset="0"/>
              </a:rPr>
              <a:t>Fixed</a:t>
            </a:r>
            <a:endParaRPr lang="en-US" sz="1200" b="1">
              <a:solidFill>
                <a:schemeClr val="bg1"/>
              </a:solidFill>
              <a:latin typeface="Avenir Next LT Pro Light" panose="020B0304020202020204" pitchFamily="34" charset="0"/>
              <a:cs typeface="Arial" panose="020B0604020202020204" pitchFamily="34" charset="0"/>
            </a:endParaRPr>
          </a:p>
        </xdr:txBody>
      </xdr:sp>
      <xdr:sp macro="" textlink="">
        <xdr:nvSpPr>
          <xdr:cNvPr id="81" name="TextBox 80">
            <a:extLst>
              <a:ext uri="{FF2B5EF4-FFF2-40B4-BE49-F238E27FC236}">
                <a16:creationId xmlns:a16="http://schemas.microsoft.com/office/drawing/2014/main" id="{829D5E93-D673-4224-81A8-E0F7F9C618D1}"/>
              </a:ext>
            </a:extLst>
          </xdr:cNvPr>
          <xdr:cNvSpPr txBox="1"/>
        </xdr:nvSpPr>
        <xdr:spPr>
          <a:xfrm>
            <a:off x="14098757" y="7386368"/>
            <a:ext cx="1114919" cy="2946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chemeClr val="bg1"/>
                </a:solidFill>
                <a:latin typeface="Avenir Next LT Pro Light" panose="020B0304020202020204" pitchFamily="34" charset="0"/>
                <a:cs typeface="+mn-cs"/>
              </a:rPr>
              <a:t>Operations</a:t>
            </a:r>
            <a:endParaRPr lang="en-US" sz="1200" b="1">
              <a:solidFill>
                <a:schemeClr val="bg1"/>
              </a:solidFill>
              <a:latin typeface="Avenir Next LT Pro Light" panose="020B0304020202020204" pitchFamily="34" charset="0"/>
              <a:cs typeface="Arial" panose="020B0604020202020204" pitchFamily="34" charset="0"/>
            </a:endParaRPr>
          </a:p>
        </xdr:txBody>
      </xdr:sp>
    </xdr:grpSp>
    <xdr:clientData/>
  </xdr:twoCellAnchor>
  <xdr:twoCellAnchor>
    <xdr:from>
      <xdr:col>10</xdr:col>
      <xdr:colOff>203200</xdr:colOff>
      <xdr:row>19</xdr:row>
      <xdr:rowOff>166511</xdr:rowOff>
    </xdr:from>
    <xdr:to>
      <xdr:col>14</xdr:col>
      <xdr:colOff>86078</xdr:colOff>
      <xdr:row>32</xdr:row>
      <xdr:rowOff>31046</xdr:rowOff>
    </xdr:to>
    <xdr:sp macro="" textlink="">
      <xdr:nvSpPr>
        <xdr:cNvPr id="87" name="Flowchart: Connector 86">
          <a:extLst>
            <a:ext uri="{FF2B5EF4-FFF2-40B4-BE49-F238E27FC236}">
              <a16:creationId xmlns:a16="http://schemas.microsoft.com/office/drawing/2014/main" id="{2A8A2AA7-1B7B-4563-A06F-B32105E32FC4}"/>
            </a:ext>
          </a:extLst>
        </xdr:cNvPr>
        <xdr:cNvSpPr/>
      </xdr:nvSpPr>
      <xdr:spPr>
        <a:xfrm>
          <a:off x="6835422" y="3948289"/>
          <a:ext cx="2535767" cy="2432757"/>
        </a:xfrm>
        <a:prstGeom prst="flowChartConnector">
          <a:avLst/>
        </a:prstGeom>
        <a:gradFill>
          <a:gsLst>
            <a:gs pos="81000">
              <a:srgbClr val="DC25FA">
                <a:alpha val="20000"/>
              </a:srgbClr>
            </a:gs>
            <a:gs pos="24000">
              <a:srgbClr val="9947F7">
                <a:alpha val="20000"/>
              </a:srgbClr>
            </a:gs>
          </a:gsLst>
          <a:lin ang="54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590549</xdr:colOff>
      <xdr:row>21</xdr:row>
      <xdr:rowOff>122061</xdr:rowOff>
    </xdr:from>
    <xdr:to>
      <xdr:col>13</xdr:col>
      <xdr:colOff>361950</xdr:colOff>
      <xdr:row>30</xdr:row>
      <xdr:rowOff>75495</xdr:rowOff>
    </xdr:to>
    <xdr:grpSp>
      <xdr:nvGrpSpPr>
        <xdr:cNvPr id="187" name="Group 186">
          <a:extLst>
            <a:ext uri="{FF2B5EF4-FFF2-40B4-BE49-F238E27FC236}">
              <a16:creationId xmlns:a16="http://schemas.microsoft.com/office/drawing/2014/main" id="{E9BB046D-BD31-897A-AA9E-5EE50575E2D5}"/>
            </a:ext>
          </a:extLst>
        </xdr:cNvPr>
        <xdr:cNvGrpSpPr/>
      </xdr:nvGrpSpPr>
      <xdr:grpSpPr>
        <a:xfrm>
          <a:off x="7286624" y="4354336"/>
          <a:ext cx="1743076" cy="1750484"/>
          <a:chOff x="7194549" y="4245328"/>
          <a:chExt cx="1752601" cy="1706034"/>
        </a:xfrm>
      </xdr:grpSpPr>
      <xdr:sp macro="" textlink="">
        <xdr:nvSpPr>
          <xdr:cNvPr id="86" name="Flowchart: Connector 85">
            <a:extLst>
              <a:ext uri="{FF2B5EF4-FFF2-40B4-BE49-F238E27FC236}">
                <a16:creationId xmlns:a16="http://schemas.microsoft.com/office/drawing/2014/main" id="{71C3A6D9-E2FA-47DD-BB31-22F60FCD941E}"/>
              </a:ext>
            </a:extLst>
          </xdr:cNvPr>
          <xdr:cNvSpPr/>
        </xdr:nvSpPr>
        <xdr:spPr>
          <a:xfrm>
            <a:off x="7194549" y="4245328"/>
            <a:ext cx="1752601" cy="1706034"/>
          </a:xfrm>
          <a:prstGeom prst="flowChartConnector">
            <a:avLst/>
          </a:prstGeom>
          <a:gradFill>
            <a:gsLst>
              <a:gs pos="0">
                <a:srgbClr val="DC25FA"/>
              </a:gs>
              <a:gs pos="56000">
                <a:srgbClr val="9947F7"/>
              </a:gs>
            </a:gsLst>
            <a:lin ang="54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5" name="Flowchart: Connector 84">
            <a:extLst>
              <a:ext uri="{FF2B5EF4-FFF2-40B4-BE49-F238E27FC236}">
                <a16:creationId xmlns:a16="http://schemas.microsoft.com/office/drawing/2014/main" id="{A6899C99-295C-CE15-7773-0E15FF5E704B}"/>
              </a:ext>
            </a:extLst>
          </xdr:cNvPr>
          <xdr:cNvSpPr/>
        </xdr:nvSpPr>
        <xdr:spPr>
          <a:xfrm>
            <a:off x="7387872" y="4448529"/>
            <a:ext cx="1363134" cy="1299632"/>
          </a:xfrm>
          <a:prstGeom prst="flowChartConnector">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33" name="Group 32">
            <a:extLst>
              <a:ext uri="{FF2B5EF4-FFF2-40B4-BE49-F238E27FC236}">
                <a16:creationId xmlns:a16="http://schemas.microsoft.com/office/drawing/2014/main" id="{0B5DF8D8-D5FF-82C8-D16C-257E99A69155}"/>
              </a:ext>
            </a:extLst>
          </xdr:cNvPr>
          <xdr:cNvGrpSpPr/>
        </xdr:nvGrpSpPr>
        <xdr:grpSpPr>
          <a:xfrm>
            <a:off x="7314328" y="4687959"/>
            <a:ext cx="1552518" cy="841410"/>
            <a:chOff x="7272862" y="3701658"/>
            <a:chExt cx="1704489" cy="891909"/>
          </a:xfrm>
        </xdr:grpSpPr>
        <xdr:sp macro="" textlink="">
          <xdr:nvSpPr>
            <xdr:cNvPr id="30" name="TextBox 29">
              <a:extLst>
                <a:ext uri="{FF2B5EF4-FFF2-40B4-BE49-F238E27FC236}">
                  <a16:creationId xmlns:a16="http://schemas.microsoft.com/office/drawing/2014/main" id="{986A9E3F-1E14-4E89-BB3C-CDB2779E4CAC}"/>
                </a:ext>
              </a:extLst>
            </xdr:cNvPr>
            <xdr:cNvSpPr txBox="1"/>
          </xdr:nvSpPr>
          <xdr:spPr>
            <a:xfrm>
              <a:off x="7426674" y="4289778"/>
              <a:ext cx="1550677" cy="3037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latin typeface="Avenir Next LT Pro Light" panose="020B0304020202020204" pitchFamily="34" charset="0"/>
                </a:rPr>
                <a:t>Production Input</a:t>
              </a:r>
              <a:endParaRPr lang="en-US" sz="1100">
                <a:solidFill>
                  <a:schemeClr val="bg1"/>
                </a:solidFill>
                <a:latin typeface="Avenir Next LT Pro Light" panose="020B0304020202020204" pitchFamily="34" charset="0"/>
                <a:cs typeface="Arial" panose="020B0604020202020204" pitchFamily="34" charset="0"/>
              </a:endParaRPr>
            </a:p>
          </xdr:txBody>
        </xdr:sp>
        <xdr:sp macro="" textlink="'Pivot Tables'!V4">
          <xdr:nvSpPr>
            <xdr:cNvPr id="32" name="TextBox 31">
              <a:extLst>
                <a:ext uri="{FF2B5EF4-FFF2-40B4-BE49-F238E27FC236}">
                  <a16:creationId xmlns:a16="http://schemas.microsoft.com/office/drawing/2014/main" id="{0FD5D2FF-8119-4141-B30D-3519287700A6}"/>
                </a:ext>
              </a:extLst>
            </xdr:cNvPr>
            <xdr:cNvSpPr txBox="1"/>
          </xdr:nvSpPr>
          <xdr:spPr>
            <a:xfrm>
              <a:off x="7272862" y="3701658"/>
              <a:ext cx="1634262" cy="729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C6161D7-9E40-4C4A-A810-9E6617024FF9}" type="TxLink">
                <a:rPr lang="en-US" sz="3400" b="0" i="0" u="none" strike="noStrike">
                  <a:solidFill>
                    <a:schemeClr val="bg1"/>
                  </a:solidFill>
                  <a:latin typeface="Avenir Next LT Pro Light" panose="020B0304020202020204" pitchFamily="34" charset="0"/>
                  <a:ea typeface="Calibri"/>
                  <a:cs typeface="Calibri"/>
                </a:rPr>
                <a:pPr algn="ctr"/>
                <a:t>92%</a:t>
              </a:fld>
              <a:endParaRPr lang="en-US" sz="3400">
                <a:solidFill>
                  <a:schemeClr val="bg1"/>
                </a:solidFill>
                <a:latin typeface="Avenir Next LT Pro Light" panose="020B0304020202020204" pitchFamily="34" charset="0"/>
              </a:endParaRPr>
            </a:p>
          </xdr:txBody>
        </xdr:sp>
      </xdr:grpSp>
    </xdr:grpSp>
    <xdr:clientData/>
  </xdr:twoCellAnchor>
  <xdr:twoCellAnchor>
    <xdr:from>
      <xdr:col>7</xdr:col>
      <xdr:colOff>465012</xdr:colOff>
      <xdr:row>29</xdr:row>
      <xdr:rowOff>120804</xdr:rowOff>
    </xdr:from>
    <xdr:to>
      <xdr:col>8</xdr:col>
      <xdr:colOff>553358</xdr:colOff>
      <xdr:row>31</xdr:row>
      <xdr:rowOff>39312</xdr:rowOff>
    </xdr:to>
    <xdr:sp macro="" textlink="">
      <xdr:nvSpPr>
        <xdr:cNvPr id="93" name="TextBox 92">
          <a:extLst>
            <a:ext uri="{FF2B5EF4-FFF2-40B4-BE49-F238E27FC236}">
              <a16:creationId xmlns:a16="http://schemas.microsoft.com/office/drawing/2014/main" id="{C4DAE8E0-0BEA-4F08-9496-A5EAC8AAAEC3}"/>
            </a:ext>
          </a:extLst>
        </xdr:cNvPr>
        <xdr:cNvSpPr txBox="1"/>
      </xdr:nvSpPr>
      <xdr:spPr>
        <a:xfrm>
          <a:off x="5164012" y="5935590"/>
          <a:ext cx="741489" cy="31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bg1"/>
              </a:solidFill>
              <a:latin typeface="Avenir Next LT Pro Light" panose="020B0304020202020204" pitchFamily="34" charset="0"/>
            </a:rPr>
            <a:t>Feed</a:t>
          </a:r>
        </a:p>
      </xdr:txBody>
    </xdr:sp>
    <xdr:clientData/>
  </xdr:twoCellAnchor>
  <xdr:twoCellAnchor>
    <xdr:from>
      <xdr:col>14</xdr:col>
      <xdr:colOff>340078</xdr:colOff>
      <xdr:row>18</xdr:row>
      <xdr:rowOff>4235</xdr:rowOff>
    </xdr:from>
    <xdr:to>
      <xdr:col>15</xdr:col>
      <xdr:colOff>441678</xdr:colOff>
      <xdr:row>19</xdr:row>
      <xdr:rowOff>117124</xdr:rowOff>
    </xdr:to>
    <xdr:sp macro="" textlink="">
      <xdr:nvSpPr>
        <xdr:cNvPr id="94" name="TextBox 93">
          <a:extLst>
            <a:ext uri="{FF2B5EF4-FFF2-40B4-BE49-F238E27FC236}">
              <a16:creationId xmlns:a16="http://schemas.microsoft.com/office/drawing/2014/main" id="{B818940F-C004-4846-A133-034B6A7DB62D}"/>
            </a:ext>
          </a:extLst>
        </xdr:cNvPr>
        <xdr:cNvSpPr txBox="1"/>
      </xdr:nvSpPr>
      <xdr:spPr>
        <a:xfrm>
          <a:off x="9554634" y="3588457"/>
          <a:ext cx="757766" cy="3104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bg1"/>
              </a:solidFill>
              <a:latin typeface="Avenir Next LT Pro Light" panose="020B0304020202020204" pitchFamily="34" charset="0"/>
            </a:rPr>
            <a:t>Labour</a:t>
          </a:r>
        </a:p>
      </xdr:txBody>
    </xdr:sp>
    <xdr:clientData/>
  </xdr:twoCellAnchor>
  <xdr:twoCellAnchor>
    <xdr:from>
      <xdr:col>9</xdr:col>
      <xdr:colOff>139700</xdr:colOff>
      <xdr:row>14</xdr:row>
      <xdr:rowOff>8468</xdr:rowOff>
    </xdr:from>
    <xdr:to>
      <xdr:col>10</xdr:col>
      <xdr:colOff>241300</xdr:colOff>
      <xdr:row>15</xdr:row>
      <xdr:rowOff>121356</xdr:rowOff>
    </xdr:to>
    <xdr:sp macro="" textlink="">
      <xdr:nvSpPr>
        <xdr:cNvPr id="95" name="TextBox 94">
          <a:extLst>
            <a:ext uri="{FF2B5EF4-FFF2-40B4-BE49-F238E27FC236}">
              <a16:creationId xmlns:a16="http://schemas.microsoft.com/office/drawing/2014/main" id="{EB93B5BE-283A-4F43-8430-E6F051A61F83}"/>
            </a:ext>
          </a:extLst>
        </xdr:cNvPr>
        <xdr:cNvSpPr txBox="1"/>
      </xdr:nvSpPr>
      <xdr:spPr>
        <a:xfrm>
          <a:off x="6073422" y="2802468"/>
          <a:ext cx="757767" cy="310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bg1"/>
              </a:solidFill>
              <a:latin typeface="Avenir Next LT Pro Light" panose="020B0304020202020204" pitchFamily="34" charset="0"/>
            </a:rPr>
            <a:t>Interest</a:t>
          </a:r>
        </a:p>
      </xdr:txBody>
    </xdr:sp>
    <xdr:clientData/>
  </xdr:twoCellAnchor>
  <xdr:twoCellAnchor>
    <xdr:from>
      <xdr:col>11</xdr:col>
      <xdr:colOff>560212</xdr:colOff>
      <xdr:row>37</xdr:row>
      <xdr:rowOff>62090</xdr:rowOff>
    </xdr:from>
    <xdr:to>
      <xdr:col>12</xdr:col>
      <xdr:colOff>661811</xdr:colOff>
      <xdr:row>38</xdr:row>
      <xdr:rowOff>174980</xdr:rowOff>
    </xdr:to>
    <xdr:sp macro="" textlink="">
      <xdr:nvSpPr>
        <xdr:cNvPr id="96" name="TextBox 95">
          <a:extLst>
            <a:ext uri="{FF2B5EF4-FFF2-40B4-BE49-F238E27FC236}">
              <a16:creationId xmlns:a16="http://schemas.microsoft.com/office/drawing/2014/main" id="{AA46E5D5-3946-416D-BFED-4E272D96C818}"/>
            </a:ext>
          </a:extLst>
        </xdr:cNvPr>
        <xdr:cNvSpPr txBox="1"/>
      </xdr:nvSpPr>
      <xdr:spPr>
        <a:xfrm>
          <a:off x="7855656" y="7399868"/>
          <a:ext cx="764822" cy="3104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solidFill>
                <a:schemeClr val="bg1"/>
              </a:solidFill>
              <a:latin typeface="Avenir Next LT Pro Light" panose="020B0304020202020204" pitchFamily="34" charset="0"/>
            </a:rPr>
            <a:t>Fixed Cost</a:t>
          </a:r>
        </a:p>
      </xdr:txBody>
    </xdr:sp>
    <xdr:clientData/>
  </xdr:twoCellAnchor>
  <xdr:twoCellAnchor>
    <xdr:from>
      <xdr:col>15</xdr:col>
      <xdr:colOff>500943</xdr:colOff>
      <xdr:row>29</xdr:row>
      <xdr:rowOff>129824</xdr:rowOff>
    </xdr:from>
    <xdr:to>
      <xdr:col>17</xdr:col>
      <xdr:colOff>91722</xdr:colOff>
      <xdr:row>31</xdr:row>
      <xdr:rowOff>14113</xdr:rowOff>
    </xdr:to>
    <xdr:sp macro="" textlink="">
      <xdr:nvSpPr>
        <xdr:cNvPr id="97" name="TextBox 96">
          <a:extLst>
            <a:ext uri="{FF2B5EF4-FFF2-40B4-BE49-F238E27FC236}">
              <a16:creationId xmlns:a16="http://schemas.microsoft.com/office/drawing/2014/main" id="{ABBF0DC2-D0C3-4EB4-8A63-1D2BD385EE75}"/>
            </a:ext>
          </a:extLst>
        </xdr:cNvPr>
        <xdr:cNvSpPr txBox="1"/>
      </xdr:nvSpPr>
      <xdr:spPr>
        <a:xfrm>
          <a:off x="10449276" y="5887157"/>
          <a:ext cx="917224"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bg1"/>
              </a:solidFill>
              <a:latin typeface="Avenir Next LT Pro Light" panose="020B0304020202020204" pitchFamily="34" charset="0"/>
            </a:rPr>
            <a:t>Feeder Cattle</a:t>
          </a:r>
        </a:p>
      </xdr:txBody>
    </xdr:sp>
    <xdr:clientData/>
  </xdr:twoCellAnchor>
  <xdr:twoCellAnchor>
    <xdr:from>
      <xdr:col>11</xdr:col>
      <xdr:colOff>456005</xdr:colOff>
      <xdr:row>10</xdr:row>
      <xdr:rowOff>64804</xdr:rowOff>
    </xdr:from>
    <xdr:to>
      <xdr:col>13</xdr:col>
      <xdr:colOff>86293</xdr:colOff>
      <xdr:row>12</xdr:row>
      <xdr:rowOff>55902</xdr:rowOff>
    </xdr:to>
    <xdr:sp macro="" textlink="">
      <xdr:nvSpPr>
        <xdr:cNvPr id="98" name="TextBox 97">
          <a:extLst>
            <a:ext uri="{FF2B5EF4-FFF2-40B4-BE49-F238E27FC236}">
              <a16:creationId xmlns:a16="http://schemas.microsoft.com/office/drawing/2014/main" id="{DF3323A8-B311-4771-9231-6BCD7F5AC9F5}"/>
            </a:ext>
          </a:extLst>
        </xdr:cNvPr>
        <xdr:cNvSpPr txBox="1"/>
      </xdr:nvSpPr>
      <xdr:spPr>
        <a:xfrm>
          <a:off x="7702061" y="2068582"/>
          <a:ext cx="942621" cy="3862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bg1"/>
              </a:solidFill>
              <a:latin typeface="Avenir Next LT Pro Light" panose="020B0304020202020204" pitchFamily="34" charset="0"/>
            </a:rPr>
            <a:t>Other Operations</a:t>
          </a:r>
        </a:p>
      </xdr:txBody>
    </xdr:sp>
    <xdr:clientData/>
  </xdr:twoCellAnchor>
  <xdr:twoCellAnchor>
    <xdr:from>
      <xdr:col>9</xdr:col>
      <xdr:colOff>563034</xdr:colOff>
      <xdr:row>35</xdr:row>
      <xdr:rowOff>103009</xdr:rowOff>
    </xdr:from>
    <xdr:to>
      <xdr:col>10</xdr:col>
      <xdr:colOff>355600</xdr:colOff>
      <xdr:row>39</xdr:row>
      <xdr:rowOff>19753</xdr:rowOff>
    </xdr:to>
    <xdr:grpSp>
      <xdr:nvGrpSpPr>
        <xdr:cNvPr id="103" name="Group 102">
          <a:extLst>
            <a:ext uri="{FF2B5EF4-FFF2-40B4-BE49-F238E27FC236}">
              <a16:creationId xmlns:a16="http://schemas.microsoft.com/office/drawing/2014/main" id="{47B3D82B-0302-FAC0-BB8F-6D093793C188}"/>
            </a:ext>
          </a:extLst>
        </xdr:cNvPr>
        <xdr:cNvGrpSpPr/>
      </xdr:nvGrpSpPr>
      <xdr:grpSpPr>
        <a:xfrm rot="13105801">
          <a:off x="6598709" y="7135634"/>
          <a:ext cx="449791" cy="713669"/>
          <a:chOff x="6385278" y="8128000"/>
          <a:chExt cx="564443" cy="812866"/>
        </a:xfrm>
        <a:solidFill>
          <a:schemeClr val="tx2">
            <a:lumMod val="50000"/>
          </a:schemeClr>
        </a:solidFill>
      </xdr:grpSpPr>
      <xdr:sp macro="" textlink="">
        <xdr:nvSpPr>
          <xdr:cNvPr id="101" name="Flowchart: Connector 100">
            <a:extLst>
              <a:ext uri="{FF2B5EF4-FFF2-40B4-BE49-F238E27FC236}">
                <a16:creationId xmlns:a16="http://schemas.microsoft.com/office/drawing/2014/main" id="{3AAEA1CC-51AE-452D-927C-5F22412271E1}"/>
              </a:ext>
            </a:extLst>
          </xdr:cNvPr>
          <xdr:cNvSpPr/>
        </xdr:nvSpPr>
        <xdr:spPr>
          <a:xfrm>
            <a:off x="6632222" y="8128000"/>
            <a:ext cx="317499" cy="295713"/>
          </a:xfrm>
          <a:prstGeom prst="flowChartConnector">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02" name="Straight Connector 101">
            <a:extLst>
              <a:ext uri="{FF2B5EF4-FFF2-40B4-BE49-F238E27FC236}">
                <a16:creationId xmlns:a16="http://schemas.microsoft.com/office/drawing/2014/main" id="{F4577AAC-6649-9B75-D50A-05F88E519833}"/>
              </a:ext>
            </a:extLst>
          </xdr:cNvPr>
          <xdr:cNvCxnSpPr/>
        </xdr:nvCxnSpPr>
        <xdr:spPr>
          <a:xfrm flipH="1">
            <a:off x="6385278" y="8410221"/>
            <a:ext cx="323074" cy="530645"/>
          </a:xfrm>
          <a:prstGeom prst="line">
            <a:avLst/>
          </a:prstGeom>
          <a:grpFill/>
          <a:ln w="9525">
            <a:solidFill>
              <a:schemeClr val="tx1">
                <a:lumMod val="65000"/>
                <a:lumOff val="35000"/>
                <a:alpha val="30000"/>
              </a:schemeClr>
            </a:solidFill>
            <a:tailEnd w="med" len="lg"/>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493886</xdr:colOff>
      <xdr:row>32</xdr:row>
      <xdr:rowOff>179210</xdr:rowOff>
    </xdr:from>
    <xdr:to>
      <xdr:col>10</xdr:col>
      <xdr:colOff>529164</xdr:colOff>
      <xdr:row>35</xdr:row>
      <xdr:rowOff>42331</xdr:rowOff>
    </xdr:to>
    <xdr:grpSp>
      <xdr:nvGrpSpPr>
        <xdr:cNvPr id="104" name="Group 103">
          <a:extLst>
            <a:ext uri="{FF2B5EF4-FFF2-40B4-BE49-F238E27FC236}">
              <a16:creationId xmlns:a16="http://schemas.microsoft.com/office/drawing/2014/main" id="{91431D53-D132-4E33-B69A-5CADB547C1CA}"/>
            </a:ext>
          </a:extLst>
        </xdr:cNvPr>
        <xdr:cNvGrpSpPr/>
      </xdr:nvGrpSpPr>
      <xdr:grpSpPr>
        <a:xfrm rot="16531245">
          <a:off x="6645802" y="6498694"/>
          <a:ext cx="463196" cy="689328"/>
          <a:chOff x="6385278" y="8128000"/>
          <a:chExt cx="564443" cy="812866"/>
        </a:xfrm>
        <a:solidFill>
          <a:schemeClr val="tx2">
            <a:lumMod val="50000"/>
          </a:schemeClr>
        </a:solidFill>
      </xdr:grpSpPr>
      <xdr:sp macro="" textlink="">
        <xdr:nvSpPr>
          <xdr:cNvPr id="105" name="Flowchart: Connector 104">
            <a:extLst>
              <a:ext uri="{FF2B5EF4-FFF2-40B4-BE49-F238E27FC236}">
                <a16:creationId xmlns:a16="http://schemas.microsoft.com/office/drawing/2014/main" id="{1E23ADAE-42D1-228E-8633-3CFDAE52BB83}"/>
              </a:ext>
            </a:extLst>
          </xdr:cNvPr>
          <xdr:cNvSpPr/>
        </xdr:nvSpPr>
        <xdr:spPr>
          <a:xfrm>
            <a:off x="6632222" y="8128000"/>
            <a:ext cx="317499" cy="295713"/>
          </a:xfrm>
          <a:prstGeom prst="flowChartConnector">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06" name="Straight Connector 105">
            <a:extLst>
              <a:ext uri="{FF2B5EF4-FFF2-40B4-BE49-F238E27FC236}">
                <a16:creationId xmlns:a16="http://schemas.microsoft.com/office/drawing/2014/main" id="{3F644DAF-77AA-DBD1-4088-DCDD3333A25C}"/>
              </a:ext>
            </a:extLst>
          </xdr:cNvPr>
          <xdr:cNvCxnSpPr/>
        </xdr:nvCxnSpPr>
        <xdr:spPr>
          <a:xfrm flipH="1">
            <a:off x="6385278" y="8410221"/>
            <a:ext cx="323074" cy="530645"/>
          </a:xfrm>
          <a:prstGeom prst="line">
            <a:avLst/>
          </a:prstGeom>
          <a:grpFill/>
          <a:ln w="9525">
            <a:solidFill>
              <a:schemeClr val="tx1">
                <a:lumMod val="65000"/>
                <a:lumOff val="35000"/>
                <a:alpha val="30000"/>
              </a:schemeClr>
            </a:solidFill>
            <a:tailEnd w="med" len="lg"/>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324551</xdr:colOff>
      <xdr:row>20</xdr:row>
      <xdr:rowOff>81844</xdr:rowOff>
    </xdr:from>
    <xdr:to>
      <xdr:col>7</xdr:col>
      <xdr:colOff>119938</xdr:colOff>
      <xdr:row>23</xdr:row>
      <xdr:rowOff>184855</xdr:rowOff>
    </xdr:to>
    <xdr:grpSp>
      <xdr:nvGrpSpPr>
        <xdr:cNvPr id="107" name="Group 106">
          <a:extLst>
            <a:ext uri="{FF2B5EF4-FFF2-40B4-BE49-F238E27FC236}">
              <a16:creationId xmlns:a16="http://schemas.microsoft.com/office/drawing/2014/main" id="{DF06F912-9364-4C48-A3E5-86EEA9414A91}"/>
            </a:ext>
          </a:extLst>
        </xdr:cNvPr>
        <xdr:cNvGrpSpPr/>
      </xdr:nvGrpSpPr>
      <xdr:grpSpPr>
        <a:xfrm rot="19762176">
          <a:off x="4391726" y="4114094"/>
          <a:ext cx="455787" cy="696736"/>
          <a:chOff x="6385278" y="8128000"/>
          <a:chExt cx="564443" cy="812866"/>
        </a:xfrm>
        <a:solidFill>
          <a:schemeClr val="tx2">
            <a:lumMod val="50000"/>
          </a:schemeClr>
        </a:solidFill>
      </xdr:grpSpPr>
      <xdr:sp macro="" textlink="">
        <xdr:nvSpPr>
          <xdr:cNvPr id="108" name="Flowchart: Connector 107">
            <a:extLst>
              <a:ext uri="{FF2B5EF4-FFF2-40B4-BE49-F238E27FC236}">
                <a16:creationId xmlns:a16="http://schemas.microsoft.com/office/drawing/2014/main" id="{76F98160-C560-B6F2-41C2-FC892E2C83CC}"/>
              </a:ext>
            </a:extLst>
          </xdr:cNvPr>
          <xdr:cNvSpPr/>
        </xdr:nvSpPr>
        <xdr:spPr>
          <a:xfrm>
            <a:off x="6632222" y="8128000"/>
            <a:ext cx="317499" cy="295713"/>
          </a:xfrm>
          <a:prstGeom prst="flowChartConnector">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09" name="Straight Connector 108">
            <a:extLst>
              <a:ext uri="{FF2B5EF4-FFF2-40B4-BE49-F238E27FC236}">
                <a16:creationId xmlns:a16="http://schemas.microsoft.com/office/drawing/2014/main" id="{BFE25892-5B98-154D-BE40-FE171C2AFF2F}"/>
              </a:ext>
            </a:extLst>
          </xdr:cNvPr>
          <xdr:cNvCxnSpPr/>
        </xdr:nvCxnSpPr>
        <xdr:spPr>
          <a:xfrm flipH="1">
            <a:off x="6385278" y="8410221"/>
            <a:ext cx="323074" cy="530645"/>
          </a:xfrm>
          <a:prstGeom prst="line">
            <a:avLst/>
          </a:prstGeom>
          <a:grpFill/>
          <a:ln w="9525">
            <a:solidFill>
              <a:schemeClr val="tx1">
                <a:lumMod val="65000"/>
                <a:lumOff val="35000"/>
                <a:alpha val="30000"/>
              </a:schemeClr>
            </a:solidFill>
            <a:tailEnd w="med" len="lg"/>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272343</xdr:colOff>
      <xdr:row>26</xdr:row>
      <xdr:rowOff>143932</xdr:rowOff>
    </xdr:from>
    <xdr:to>
      <xdr:col>7</xdr:col>
      <xdr:colOff>67730</xdr:colOff>
      <xdr:row>30</xdr:row>
      <xdr:rowOff>55031</xdr:rowOff>
    </xdr:to>
    <xdr:grpSp>
      <xdr:nvGrpSpPr>
        <xdr:cNvPr id="110" name="Group 109">
          <a:extLst>
            <a:ext uri="{FF2B5EF4-FFF2-40B4-BE49-F238E27FC236}">
              <a16:creationId xmlns:a16="http://schemas.microsoft.com/office/drawing/2014/main" id="{7302F068-703E-4906-93A9-6BE06AE5A204}"/>
            </a:ext>
          </a:extLst>
        </xdr:cNvPr>
        <xdr:cNvGrpSpPr/>
      </xdr:nvGrpSpPr>
      <xdr:grpSpPr>
        <a:xfrm rot="9176251">
          <a:off x="4342693" y="5369982"/>
          <a:ext cx="446262" cy="714374"/>
          <a:chOff x="6385278" y="8128000"/>
          <a:chExt cx="564443" cy="812866"/>
        </a:xfrm>
        <a:solidFill>
          <a:schemeClr val="tx2">
            <a:lumMod val="50000"/>
          </a:schemeClr>
        </a:solidFill>
      </xdr:grpSpPr>
      <xdr:sp macro="" textlink="">
        <xdr:nvSpPr>
          <xdr:cNvPr id="111" name="Flowchart: Connector 110">
            <a:extLst>
              <a:ext uri="{FF2B5EF4-FFF2-40B4-BE49-F238E27FC236}">
                <a16:creationId xmlns:a16="http://schemas.microsoft.com/office/drawing/2014/main" id="{AC2FA9A0-087A-CFDD-4951-011B50D0A224}"/>
              </a:ext>
            </a:extLst>
          </xdr:cNvPr>
          <xdr:cNvSpPr/>
        </xdr:nvSpPr>
        <xdr:spPr>
          <a:xfrm>
            <a:off x="6632222" y="8128000"/>
            <a:ext cx="317499" cy="295713"/>
          </a:xfrm>
          <a:prstGeom prst="flowChartConnector">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12" name="Straight Connector 111">
            <a:extLst>
              <a:ext uri="{FF2B5EF4-FFF2-40B4-BE49-F238E27FC236}">
                <a16:creationId xmlns:a16="http://schemas.microsoft.com/office/drawing/2014/main" id="{07C35FD8-00E5-141E-7644-1EF7B7CA980D}"/>
              </a:ext>
            </a:extLst>
          </xdr:cNvPr>
          <xdr:cNvCxnSpPr/>
        </xdr:nvCxnSpPr>
        <xdr:spPr>
          <a:xfrm flipH="1">
            <a:off x="6385278" y="8410221"/>
            <a:ext cx="323074" cy="530645"/>
          </a:xfrm>
          <a:prstGeom prst="line">
            <a:avLst/>
          </a:prstGeom>
          <a:grpFill/>
          <a:ln w="9525">
            <a:solidFill>
              <a:schemeClr val="tx1">
                <a:lumMod val="65000"/>
                <a:lumOff val="35000"/>
                <a:alpha val="30000"/>
              </a:schemeClr>
            </a:solidFill>
            <a:tailEnd w="med" len="lg"/>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438856</xdr:colOff>
      <xdr:row>24</xdr:row>
      <xdr:rowOff>186264</xdr:rowOff>
    </xdr:from>
    <xdr:to>
      <xdr:col>6</xdr:col>
      <xdr:colOff>234244</xdr:colOff>
      <xdr:row>28</xdr:row>
      <xdr:rowOff>91720</xdr:rowOff>
    </xdr:to>
    <xdr:grpSp>
      <xdr:nvGrpSpPr>
        <xdr:cNvPr id="113" name="Group 112">
          <a:extLst>
            <a:ext uri="{FF2B5EF4-FFF2-40B4-BE49-F238E27FC236}">
              <a16:creationId xmlns:a16="http://schemas.microsoft.com/office/drawing/2014/main" id="{4688AB66-D6F3-4A3C-80CF-768F19664695}"/>
            </a:ext>
          </a:extLst>
        </xdr:cNvPr>
        <xdr:cNvGrpSpPr/>
      </xdr:nvGrpSpPr>
      <xdr:grpSpPr>
        <a:xfrm rot="12860764">
          <a:off x="3848806" y="5012264"/>
          <a:ext cx="455788" cy="705556"/>
          <a:chOff x="6385278" y="8128000"/>
          <a:chExt cx="564443" cy="812866"/>
        </a:xfrm>
        <a:solidFill>
          <a:schemeClr val="tx2">
            <a:lumMod val="50000"/>
          </a:schemeClr>
        </a:solidFill>
      </xdr:grpSpPr>
      <xdr:sp macro="" textlink="">
        <xdr:nvSpPr>
          <xdr:cNvPr id="114" name="Flowchart: Connector 113">
            <a:extLst>
              <a:ext uri="{FF2B5EF4-FFF2-40B4-BE49-F238E27FC236}">
                <a16:creationId xmlns:a16="http://schemas.microsoft.com/office/drawing/2014/main" id="{D19D9F11-CB3A-85DC-BF55-85B12F8E2BC4}"/>
              </a:ext>
            </a:extLst>
          </xdr:cNvPr>
          <xdr:cNvSpPr/>
        </xdr:nvSpPr>
        <xdr:spPr>
          <a:xfrm>
            <a:off x="6632222" y="8128000"/>
            <a:ext cx="317499" cy="295713"/>
          </a:xfrm>
          <a:prstGeom prst="flowChartConnector">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15" name="Straight Connector 114">
            <a:extLst>
              <a:ext uri="{FF2B5EF4-FFF2-40B4-BE49-F238E27FC236}">
                <a16:creationId xmlns:a16="http://schemas.microsoft.com/office/drawing/2014/main" id="{D5B0258B-BDE3-2221-7D4E-F9A34A980B59}"/>
              </a:ext>
            </a:extLst>
          </xdr:cNvPr>
          <xdr:cNvCxnSpPr/>
        </xdr:nvCxnSpPr>
        <xdr:spPr>
          <a:xfrm flipH="1">
            <a:off x="6385278" y="8410221"/>
            <a:ext cx="323074" cy="530645"/>
          </a:xfrm>
          <a:prstGeom prst="line">
            <a:avLst/>
          </a:prstGeom>
          <a:grpFill/>
          <a:ln w="9525">
            <a:solidFill>
              <a:schemeClr val="tx1">
                <a:lumMod val="65000"/>
                <a:lumOff val="35000"/>
                <a:alpha val="30000"/>
              </a:schemeClr>
            </a:solidFill>
            <a:tailEnd w="med" len="lg"/>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344310</xdr:colOff>
      <xdr:row>22</xdr:row>
      <xdr:rowOff>139698</xdr:rowOff>
    </xdr:from>
    <xdr:to>
      <xdr:col>6</xdr:col>
      <xdr:colOff>379588</xdr:colOff>
      <xdr:row>24</xdr:row>
      <xdr:rowOff>197551</xdr:rowOff>
    </xdr:to>
    <xdr:grpSp>
      <xdr:nvGrpSpPr>
        <xdr:cNvPr id="116" name="Group 115">
          <a:extLst>
            <a:ext uri="{FF2B5EF4-FFF2-40B4-BE49-F238E27FC236}">
              <a16:creationId xmlns:a16="http://schemas.microsoft.com/office/drawing/2014/main" id="{14E41D6C-6655-4008-AD5A-D1BBDFA41402}"/>
            </a:ext>
          </a:extLst>
        </xdr:cNvPr>
        <xdr:cNvGrpSpPr/>
      </xdr:nvGrpSpPr>
      <xdr:grpSpPr>
        <a:xfrm rot="15869789">
          <a:off x="3871560" y="4454698"/>
          <a:ext cx="457903" cy="692503"/>
          <a:chOff x="6385278" y="8128000"/>
          <a:chExt cx="564443" cy="812866"/>
        </a:xfrm>
        <a:solidFill>
          <a:schemeClr val="tx2">
            <a:lumMod val="50000"/>
          </a:schemeClr>
        </a:solidFill>
      </xdr:grpSpPr>
      <xdr:sp macro="" textlink="">
        <xdr:nvSpPr>
          <xdr:cNvPr id="117" name="Flowchart: Connector 116">
            <a:extLst>
              <a:ext uri="{FF2B5EF4-FFF2-40B4-BE49-F238E27FC236}">
                <a16:creationId xmlns:a16="http://schemas.microsoft.com/office/drawing/2014/main" id="{5F9E6402-A620-08EE-33A0-E1E92B653C37}"/>
              </a:ext>
            </a:extLst>
          </xdr:cNvPr>
          <xdr:cNvSpPr/>
        </xdr:nvSpPr>
        <xdr:spPr>
          <a:xfrm>
            <a:off x="6632222" y="8128000"/>
            <a:ext cx="317499" cy="295713"/>
          </a:xfrm>
          <a:prstGeom prst="flowChartConnector">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18" name="Straight Connector 117">
            <a:extLst>
              <a:ext uri="{FF2B5EF4-FFF2-40B4-BE49-F238E27FC236}">
                <a16:creationId xmlns:a16="http://schemas.microsoft.com/office/drawing/2014/main" id="{E8AA24CD-5968-7E34-5559-64175ADF932D}"/>
              </a:ext>
            </a:extLst>
          </xdr:cNvPr>
          <xdr:cNvCxnSpPr/>
        </xdr:nvCxnSpPr>
        <xdr:spPr>
          <a:xfrm flipH="1">
            <a:off x="6385278" y="8410221"/>
            <a:ext cx="323074" cy="530645"/>
          </a:xfrm>
          <a:prstGeom prst="line">
            <a:avLst/>
          </a:prstGeom>
          <a:grpFill/>
          <a:ln w="9525">
            <a:solidFill>
              <a:schemeClr val="tx1">
                <a:lumMod val="65000"/>
                <a:lumOff val="35000"/>
                <a:alpha val="30000"/>
              </a:schemeClr>
            </a:solidFill>
            <a:tailEnd w="med" len="lg"/>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16</xdr:col>
      <xdr:colOff>465591</xdr:colOff>
      <xdr:row>14</xdr:row>
      <xdr:rowOff>17469</xdr:rowOff>
    </xdr:from>
    <xdr:to>
      <xdr:col>17</xdr:col>
      <xdr:colOff>502776</xdr:colOff>
      <xdr:row>16</xdr:row>
      <xdr:rowOff>78869</xdr:rowOff>
    </xdr:to>
    <xdr:grpSp>
      <xdr:nvGrpSpPr>
        <xdr:cNvPr id="125" name="Group 124">
          <a:extLst>
            <a:ext uri="{FF2B5EF4-FFF2-40B4-BE49-F238E27FC236}">
              <a16:creationId xmlns:a16="http://schemas.microsoft.com/office/drawing/2014/main" id="{D1EA8CFF-5C15-4FAF-B4D6-EBA57019FC91}"/>
            </a:ext>
          </a:extLst>
        </xdr:cNvPr>
        <xdr:cNvGrpSpPr/>
      </xdr:nvGrpSpPr>
      <xdr:grpSpPr>
        <a:xfrm rot="3701126">
          <a:off x="11224671" y="2729914"/>
          <a:ext cx="461450" cy="694410"/>
          <a:chOff x="6385278" y="8128000"/>
          <a:chExt cx="564443" cy="812866"/>
        </a:xfrm>
        <a:solidFill>
          <a:schemeClr val="tx2">
            <a:lumMod val="50000"/>
          </a:schemeClr>
        </a:solidFill>
      </xdr:grpSpPr>
      <xdr:sp macro="" textlink="">
        <xdr:nvSpPr>
          <xdr:cNvPr id="126" name="Flowchart: Connector 125">
            <a:extLst>
              <a:ext uri="{FF2B5EF4-FFF2-40B4-BE49-F238E27FC236}">
                <a16:creationId xmlns:a16="http://schemas.microsoft.com/office/drawing/2014/main" id="{0C67592B-F108-940D-B15C-CE23DACF8600}"/>
              </a:ext>
            </a:extLst>
          </xdr:cNvPr>
          <xdr:cNvSpPr/>
        </xdr:nvSpPr>
        <xdr:spPr>
          <a:xfrm>
            <a:off x="6632222" y="8128000"/>
            <a:ext cx="317499" cy="295713"/>
          </a:xfrm>
          <a:prstGeom prst="flowChartConnector">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27" name="Straight Connector 126">
            <a:extLst>
              <a:ext uri="{FF2B5EF4-FFF2-40B4-BE49-F238E27FC236}">
                <a16:creationId xmlns:a16="http://schemas.microsoft.com/office/drawing/2014/main" id="{32AC110E-B308-CDAD-D3E2-0329E9A6DF02}"/>
              </a:ext>
            </a:extLst>
          </xdr:cNvPr>
          <xdr:cNvCxnSpPr/>
        </xdr:nvCxnSpPr>
        <xdr:spPr>
          <a:xfrm flipH="1">
            <a:off x="6385278" y="8410221"/>
            <a:ext cx="323074" cy="530645"/>
          </a:xfrm>
          <a:prstGeom prst="line">
            <a:avLst/>
          </a:prstGeom>
          <a:grpFill/>
          <a:ln w="9525">
            <a:solidFill>
              <a:schemeClr val="tx1">
                <a:lumMod val="65000"/>
                <a:lumOff val="35000"/>
                <a:alpha val="30000"/>
              </a:schemeClr>
            </a:solidFill>
            <a:tailEnd w="med" len="lg"/>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15</xdr:col>
      <xdr:colOff>609600</xdr:colOff>
      <xdr:row>14</xdr:row>
      <xdr:rowOff>110068</xdr:rowOff>
    </xdr:from>
    <xdr:to>
      <xdr:col>16</xdr:col>
      <xdr:colOff>466043</xdr:colOff>
      <xdr:row>16</xdr:row>
      <xdr:rowOff>19503</xdr:rowOff>
    </xdr:to>
    <xdr:sp macro="" textlink="'Pivot Tables'!BE16">
      <xdr:nvSpPr>
        <xdr:cNvPr id="137" name="TextBox 98">
          <a:extLst>
            <a:ext uri="{FF2B5EF4-FFF2-40B4-BE49-F238E27FC236}">
              <a16:creationId xmlns:a16="http://schemas.microsoft.com/office/drawing/2014/main" id="{1822775C-07CC-3C66-CC56-8ACF0A00E524}"/>
            </a:ext>
          </a:extLst>
        </xdr:cNvPr>
        <xdr:cNvSpPr txBox="1"/>
      </xdr:nvSpPr>
      <xdr:spPr>
        <a:xfrm>
          <a:off x="10515600" y="2870201"/>
          <a:ext cx="516843" cy="298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C8DC97D1-D967-4E17-9AE9-012E14920876}" type="TxLink">
            <a:rPr lang="en-US" sz="1000" b="0" i="0" u="none" strike="noStrike">
              <a:solidFill>
                <a:schemeClr val="bg1"/>
              </a:solidFill>
              <a:latin typeface="Calibri"/>
              <a:ea typeface="Calibri"/>
              <a:cs typeface="Calibri"/>
            </a:rPr>
            <a:pPr algn="ctr"/>
            <a:t>1.9%</a:t>
          </a:fld>
          <a:endParaRPr lang="en-US" sz="1000">
            <a:solidFill>
              <a:schemeClr val="bg1"/>
            </a:solidFill>
            <a:latin typeface="Avenir Next LT Pro Light" panose="020B0304020202020204" pitchFamily="34" charset="0"/>
          </a:endParaRPr>
        </a:p>
      </xdr:txBody>
    </xdr:sp>
    <xdr:clientData/>
  </xdr:twoCellAnchor>
  <xdr:twoCellAnchor>
    <xdr:from>
      <xdr:col>13</xdr:col>
      <xdr:colOff>304801</xdr:colOff>
      <xdr:row>6</xdr:row>
      <xdr:rowOff>186265</xdr:rowOff>
    </xdr:from>
    <xdr:to>
      <xdr:col>14</xdr:col>
      <xdr:colOff>161244</xdr:colOff>
      <xdr:row>8</xdr:row>
      <xdr:rowOff>95702</xdr:rowOff>
    </xdr:to>
    <xdr:sp macro="" textlink="'Pivot Tables'!BE18">
      <xdr:nvSpPr>
        <xdr:cNvPr id="141" name="TextBox 98">
          <a:extLst>
            <a:ext uri="{FF2B5EF4-FFF2-40B4-BE49-F238E27FC236}">
              <a16:creationId xmlns:a16="http://schemas.microsoft.com/office/drawing/2014/main" id="{FC1929B5-7283-4775-514A-F5D2C3F6CCD0}"/>
            </a:ext>
          </a:extLst>
        </xdr:cNvPr>
        <xdr:cNvSpPr txBox="1"/>
      </xdr:nvSpPr>
      <xdr:spPr>
        <a:xfrm>
          <a:off x="8890001" y="1354665"/>
          <a:ext cx="516843" cy="298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BDA7FF5B-9482-4DD9-9034-69D17F67331D}" type="TxLink">
            <a:rPr lang="en-US" sz="1000" b="0" i="0" u="none" strike="noStrike">
              <a:solidFill>
                <a:schemeClr val="bg1"/>
              </a:solidFill>
              <a:latin typeface="Calibri"/>
              <a:ea typeface="Calibri"/>
              <a:cs typeface="Calibri"/>
            </a:rPr>
            <a:pPr algn="ctr"/>
            <a:t>5.3%</a:t>
          </a:fld>
          <a:endParaRPr lang="en-US" sz="1000">
            <a:solidFill>
              <a:schemeClr val="bg1"/>
            </a:solidFill>
            <a:latin typeface="Avenir Next LT Pro Light" panose="020B0304020202020204" pitchFamily="34" charset="0"/>
          </a:endParaRPr>
        </a:p>
      </xdr:txBody>
    </xdr:sp>
    <xdr:clientData/>
  </xdr:twoCellAnchor>
  <xdr:twoCellAnchor>
    <xdr:from>
      <xdr:col>8</xdr:col>
      <xdr:colOff>84667</xdr:colOff>
      <xdr:row>10</xdr:row>
      <xdr:rowOff>101602</xdr:rowOff>
    </xdr:from>
    <xdr:to>
      <xdr:col>8</xdr:col>
      <xdr:colOff>601510</xdr:colOff>
      <xdr:row>12</xdr:row>
      <xdr:rowOff>4591</xdr:rowOff>
    </xdr:to>
    <xdr:sp macro="" textlink="'Pivot Tables'!BE14">
      <xdr:nvSpPr>
        <xdr:cNvPr id="145" name="TextBox 98">
          <a:extLst>
            <a:ext uri="{FF2B5EF4-FFF2-40B4-BE49-F238E27FC236}">
              <a16:creationId xmlns:a16="http://schemas.microsoft.com/office/drawing/2014/main" id="{458D38F9-5B39-9BA0-5E3E-781F6DCCCDC5}"/>
            </a:ext>
          </a:extLst>
        </xdr:cNvPr>
        <xdr:cNvSpPr txBox="1"/>
      </xdr:nvSpPr>
      <xdr:spPr>
        <a:xfrm>
          <a:off x="5395576" y="2085977"/>
          <a:ext cx="516843" cy="2926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4F4FC5B4-FD85-4B88-AA56-2154E1FB610F}" type="TxLink">
            <a:rPr lang="en-US" sz="1000" b="0" i="0" u="none" strike="noStrike">
              <a:solidFill>
                <a:schemeClr val="bg1"/>
              </a:solidFill>
              <a:latin typeface="Calibri"/>
              <a:ea typeface="Calibri"/>
              <a:cs typeface="Calibri"/>
            </a:rPr>
            <a:pPr algn="ctr"/>
            <a:t>3.7%</a:t>
          </a:fld>
          <a:endParaRPr lang="en-US" sz="1000">
            <a:solidFill>
              <a:schemeClr val="bg1"/>
            </a:solidFill>
            <a:latin typeface="Avenir Next LT Pro Light" panose="020B0304020202020204" pitchFamily="34" charset="0"/>
          </a:endParaRPr>
        </a:p>
      </xdr:txBody>
    </xdr:sp>
    <xdr:clientData/>
  </xdr:twoCellAnchor>
  <xdr:twoCellAnchor>
    <xdr:from>
      <xdr:col>6</xdr:col>
      <xdr:colOff>262463</xdr:colOff>
      <xdr:row>24</xdr:row>
      <xdr:rowOff>135467</xdr:rowOff>
    </xdr:from>
    <xdr:to>
      <xdr:col>7</xdr:col>
      <xdr:colOff>211663</xdr:colOff>
      <xdr:row>26</xdr:row>
      <xdr:rowOff>44905</xdr:rowOff>
    </xdr:to>
    <xdr:sp macro="" textlink="'Pivot Tables'!BE4">
      <xdr:nvSpPr>
        <xdr:cNvPr id="149" name="TextBox 98">
          <a:extLst>
            <a:ext uri="{FF2B5EF4-FFF2-40B4-BE49-F238E27FC236}">
              <a16:creationId xmlns:a16="http://schemas.microsoft.com/office/drawing/2014/main" id="{E320A31B-A6D8-FD01-733E-B35DCCA204FF}"/>
            </a:ext>
          </a:extLst>
        </xdr:cNvPr>
        <xdr:cNvSpPr txBox="1"/>
      </xdr:nvSpPr>
      <xdr:spPr>
        <a:xfrm>
          <a:off x="4227685" y="4905023"/>
          <a:ext cx="605367" cy="3045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69A912F2-F875-422C-958D-E14D507D78AB}" type="TxLink">
            <a:rPr lang="en-US" sz="1000" b="0" i="0" u="none" strike="noStrike">
              <a:solidFill>
                <a:schemeClr val="bg1"/>
              </a:solidFill>
              <a:latin typeface="Calibri"/>
              <a:ea typeface="Calibri"/>
              <a:cs typeface="Calibri"/>
            </a:rPr>
            <a:pPr algn="ctr"/>
            <a:t>2.3%</a:t>
          </a:fld>
          <a:endParaRPr lang="en-US" sz="1000">
            <a:solidFill>
              <a:schemeClr val="bg1"/>
            </a:solidFill>
            <a:latin typeface="Avenir Next LT Pro Light" panose="020B0304020202020204" pitchFamily="34" charset="0"/>
          </a:endParaRPr>
        </a:p>
      </xdr:txBody>
    </xdr:sp>
    <xdr:clientData/>
  </xdr:twoCellAnchor>
  <xdr:twoCellAnchor>
    <xdr:from>
      <xdr:col>18</xdr:col>
      <xdr:colOff>118533</xdr:colOff>
      <xdr:row>25</xdr:row>
      <xdr:rowOff>143934</xdr:rowOff>
    </xdr:from>
    <xdr:to>
      <xdr:col>18</xdr:col>
      <xdr:colOff>623419</xdr:colOff>
      <xdr:row>27</xdr:row>
      <xdr:rowOff>36885</xdr:rowOff>
    </xdr:to>
    <xdr:sp macro="" textlink="'Pivot Tables'!BE9">
      <xdr:nvSpPr>
        <xdr:cNvPr id="153" name="TextBox 152">
          <a:extLst>
            <a:ext uri="{FF2B5EF4-FFF2-40B4-BE49-F238E27FC236}">
              <a16:creationId xmlns:a16="http://schemas.microsoft.com/office/drawing/2014/main" id="{7711A8BB-4ACA-4AE3-A8C3-05C247798635}"/>
            </a:ext>
          </a:extLst>
        </xdr:cNvPr>
        <xdr:cNvSpPr txBox="1"/>
      </xdr:nvSpPr>
      <xdr:spPr>
        <a:xfrm>
          <a:off x="12005733" y="5046134"/>
          <a:ext cx="504886" cy="2824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89BD256-6C99-4A1F-9772-DDFF0D3AED9F}" type="TxLink">
            <a:rPr lang="en-US" sz="1000" b="0" i="0" u="none" strike="noStrike">
              <a:solidFill>
                <a:schemeClr val="bg1"/>
              </a:solidFill>
              <a:latin typeface="Calibri"/>
              <a:ea typeface="Calibri"/>
              <a:cs typeface="Calibri"/>
            </a:rPr>
            <a:pPr algn="ctr"/>
            <a:t>86.4%</a:t>
          </a:fld>
          <a:endParaRPr lang="en-US" sz="500">
            <a:solidFill>
              <a:schemeClr val="bg1"/>
            </a:solidFill>
            <a:latin typeface="Avenir Next LT Pro Light" panose="020B0304020202020204" pitchFamily="34" charset="0"/>
          </a:endParaRPr>
        </a:p>
      </xdr:txBody>
    </xdr:sp>
    <xdr:clientData/>
  </xdr:twoCellAnchor>
  <xdr:twoCellAnchor>
    <xdr:from>
      <xdr:col>10</xdr:col>
      <xdr:colOff>430390</xdr:colOff>
      <xdr:row>35</xdr:row>
      <xdr:rowOff>28221</xdr:rowOff>
    </xdr:from>
    <xdr:to>
      <xdr:col>11</xdr:col>
      <xdr:colOff>283905</xdr:colOff>
      <xdr:row>36</xdr:row>
      <xdr:rowOff>132469</xdr:rowOff>
    </xdr:to>
    <xdr:sp macro="" textlink="'Pivot Tables'!BE11">
      <xdr:nvSpPr>
        <xdr:cNvPr id="157" name="TextBox 98">
          <a:extLst>
            <a:ext uri="{FF2B5EF4-FFF2-40B4-BE49-F238E27FC236}">
              <a16:creationId xmlns:a16="http://schemas.microsoft.com/office/drawing/2014/main" id="{850C0D45-1131-2F53-4602-28F46B29152D}"/>
            </a:ext>
          </a:extLst>
        </xdr:cNvPr>
        <xdr:cNvSpPr txBox="1"/>
      </xdr:nvSpPr>
      <xdr:spPr>
        <a:xfrm>
          <a:off x="7062612" y="6970888"/>
          <a:ext cx="516737" cy="3018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0E17C1B1-93C2-4B0C-B10B-EF07E1C37A07}" type="TxLink">
            <a:rPr lang="en-US" sz="1000" b="0" i="0" u="none" strike="noStrike">
              <a:solidFill>
                <a:schemeClr val="bg1"/>
              </a:solidFill>
              <a:latin typeface="Calibri"/>
              <a:ea typeface="Calibri"/>
              <a:cs typeface="Calibri"/>
            </a:rPr>
            <a:pPr algn="ctr"/>
            <a:t>0.5%</a:t>
          </a:fld>
          <a:endParaRPr lang="en-US" sz="1000">
            <a:solidFill>
              <a:schemeClr val="bg1"/>
            </a:solidFill>
            <a:latin typeface="Avenir Next LT Pro Light" panose="020B0304020202020204" pitchFamily="34" charset="0"/>
          </a:endParaRPr>
        </a:p>
      </xdr:txBody>
    </xdr:sp>
    <xdr:clientData/>
  </xdr:twoCellAnchor>
  <xdr:twoCellAnchor>
    <xdr:from>
      <xdr:col>9</xdr:col>
      <xdr:colOff>22951</xdr:colOff>
      <xdr:row>11</xdr:row>
      <xdr:rowOff>15301</xdr:rowOff>
    </xdr:from>
    <xdr:to>
      <xdr:col>15</xdr:col>
      <xdr:colOff>296332</xdr:colOff>
      <xdr:row>36</xdr:row>
      <xdr:rowOff>153012</xdr:rowOff>
    </xdr:to>
    <xdr:grpSp>
      <xdr:nvGrpSpPr>
        <xdr:cNvPr id="182" name="Group 181">
          <a:extLst>
            <a:ext uri="{FF2B5EF4-FFF2-40B4-BE49-F238E27FC236}">
              <a16:creationId xmlns:a16="http://schemas.microsoft.com/office/drawing/2014/main" id="{0A4B279A-8F01-2526-744E-DFCEC2CEA39E}"/>
            </a:ext>
          </a:extLst>
        </xdr:cNvPr>
        <xdr:cNvGrpSpPr/>
      </xdr:nvGrpSpPr>
      <xdr:grpSpPr>
        <a:xfrm>
          <a:off x="6064976" y="2240976"/>
          <a:ext cx="4210381" cy="5141511"/>
          <a:chOff x="5966631" y="2198247"/>
          <a:chExt cx="4235702" cy="4998515"/>
        </a:xfrm>
      </xdr:grpSpPr>
      <xdr:cxnSp macro="">
        <xdr:nvCxnSpPr>
          <xdr:cNvPr id="158" name="Straight Connector 157">
            <a:extLst>
              <a:ext uri="{FF2B5EF4-FFF2-40B4-BE49-F238E27FC236}">
                <a16:creationId xmlns:a16="http://schemas.microsoft.com/office/drawing/2014/main" id="{52BD90DD-491C-E72D-DBB4-4CD2B1442A7C}"/>
              </a:ext>
            </a:extLst>
          </xdr:cNvPr>
          <xdr:cNvCxnSpPr>
            <a:stCxn id="95" idx="0"/>
          </xdr:cNvCxnSpPr>
        </xdr:nvCxnSpPr>
        <xdr:spPr>
          <a:xfrm>
            <a:off x="6464874" y="2800481"/>
            <a:ext cx="1080368" cy="1681589"/>
          </a:xfrm>
          <a:prstGeom prst="line">
            <a:avLst/>
          </a:prstGeom>
          <a:ln>
            <a:gradFill>
              <a:gsLst>
                <a:gs pos="36000">
                  <a:srgbClr val="DC25FA"/>
                </a:gs>
                <a:gs pos="2000">
                  <a:srgbClr val="100D83"/>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161" name="Straight Connector 160">
            <a:extLst>
              <a:ext uri="{FF2B5EF4-FFF2-40B4-BE49-F238E27FC236}">
                <a16:creationId xmlns:a16="http://schemas.microsoft.com/office/drawing/2014/main" id="{CA801B6C-CCAB-4D98-85F9-09E1EFE5AA81}"/>
              </a:ext>
            </a:extLst>
          </xdr:cNvPr>
          <xdr:cNvCxnSpPr/>
        </xdr:nvCxnSpPr>
        <xdr:spPr>
          <a:xfrm flipH="1">
            <a:off x="8111281" y="2198247"/>
            <a:ext cx="74027" cy="2094353"/>
          </a:xfrm>
          <a:prstGeom prst="line">
            <a:avLst/>
          </a:prstGeom>
          <a:ln>
            <a:gradFill>
              <a:gsLst>
                <a:gs pos="36000">
                  <a:srgbClr val="DC25FA"/>
                </a:gs>
                <a:gs pos="2000">
                  <a:srgbClr val="100D83"/>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162" name="Straight Connector 161">
            <a:extLst>
              <a:ext uri="{FF2B5EF4-FFF2-40B4-BE49-F238E27FC236}">
                <a16:creationId xmlns:a16="http://schemas.microsoft.com/office/drawing/2014/main" id="{784D417E-204A-489F-8477-A5426B552528}"/>
              </a:ext>
            </a:extLst>
          </xdr:cNvPr>
          <xdr:cNvCxnSpPr/>
        </xdr:nvCxnSpPr>
        <xdr:spPr>
          <a:xfrm flipH="1">
            <a:off x="8779933" y="3505200"/>
            <a:ext cx="1143000" cy="1109133"/>
          </a:xfrm>
          <a:prstGeom prst="line">
            <a:avLst/>
          </a:prstGeom>
          <a:ln>
            <a:gradFill>
              <a:gsLst>
                <a:gs pos="36000">
                  <a:srgbClr val="DC25FA"/>
                </a:gs>
                <a:gs pos="2000">
                  <a:srgbClr val="100D83"/>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163" name="Straight Connector 162">
            <a:extLst>
              <a:ext uri="{FF2B5EF4-FFF2-40B4-BE49-F238E27FC236}">
                <a16:creationId xmlns:a16="http://schemas.microsoft.com/office/drawing/2014/main" id="{4306EA61-E4D1-A28D-D326-56E76F1FE772}"/>
              </a:ext>
            </a:extLst>
          </xdr:cNvPr>
          <xdr:cNvCxnSpPr/>
        </xdr:nvCxnSpPr>
        <xdr:spPr>
          <a:xfrm flipH="1" flipV="1">
            <a:off x="8898467" y="5283200"/>
            <a:ext cx="1303866" cy="279400"/>
          </a:xfrm>
          <a:prstGeom prst="line">
            <a:avLst/>
          </a:prstGeom>
          <a:ln>
            <a:gradFill flip="none" rotWithShape="1">
              <a:gsLst>
                <a:gs pos="51000">
                  <a:srgbClr val="DC25FA"/>
                </a:gs>
                <a:gs pos="11000">
                  <a:srgbClr val="100D83"/>
                </a:gs>
              </a:gsLst>
              <a:lin ang="0" scaled="1"/>
              <a:tileRect/>
            </a:gradFill>
          </a:ln>
        </xdr:spPr>
        <xdr:style>
          <a:lnRef idx="1">
            <a:schemeClr val="accent1"/>
          </a:lnRef>
          <a:fillRef idx="0">
            <a:schemeClr val="accent1"/>
          </a:fillRef>
          <a:effectRef idx="0">
            <a:schemeClr val="accent1"/>
          </a:effectRef>
          <a:fontRef idx="minor">
            <a:schemeClr val="tx1"/>
          </a:fontRef>
        </xdr:style>
      </xdr:cxnSp>
      <xdr:cxnSp macro="">
        <xdr:nvCxnSpPr>
          <xdr:cNvPr id="164" name="Straight Connector 163">
            <a:extLst>
              <a:ext uri="{FF2B5EF4-FFF2-40B4-BE49-F238E27FC236}">
                <a16:creationId xmlns:a16="http://schemas.microsoft.com/office/drawing/2014/main" id="{EB9E73F9-5945-5AD7-2894-649B53C73975}"/>
              </a:ext>
            </a:extLst>
          </xdr:cNvPr>
          <xdr:cNvCxnSpPr/>
        </xdr:nvCxnSpPr>
        <xdr:spPr>
          <a:xfrm flipH="1" flipV="1">
            <a:off x="8102817" y="5943600"/>
            <a:ext cx="97844" cy="1253162"/>
          </a:xfrm>
          <a:prstGeom prst="line">
            <a:avLst/>
          </a:prstGeom>
          <a:ln>
            <a:gradFill>
              <a:gsLst>
                <a:gs pos="36000">
                  <a:srgbClr val="DC25FA"/>
                </a:gs>
                <a:gs pos="2000">
                  <a:srgbClr val="100D83"/>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165" name="Straight Connector 164">
            <a:extLst>
              <a:ext uri="{FF2B5EF4-FFF2-40B4-BE49-F238E27FC236}">
                <a16:creationId xmlns:a16="http://schemas.microsoft.com/office/drawing/2014/main" id="{C9A5A4C9-5E5D-6FB6-3A9C-9A7748144F46}"/>
              </a:ext>
            </a:extLst>
          </xdr:cNvPr>
          <xdr:cNvCxnSpPr/>
        </xdr:nvCxnSpPr>
        <xdr:spPr>
          <a:xfrm flipV="1">
            <a:off x="5966631" y="5232400"/>
            <a:ext cx="1248465" cy="409765"/>
          </a:xfrm>
          <a:prstGeom prst="line">
            <a:avLst/>
          </a:prstGeom>
          <a:ln>
            <a:gradFill>
              <a:gsLst>
                <a:gs pos="36000">
                  <a:srgbClr val="DC25FA"/>
                </a:gs>
                <a:gs pos="2000">
                  <a:srgbClr val="100D83"/>
                </a:gs>
              </a:gsLst>
              <a:lin ang="5400000" scaled="1"/>
            </a:gra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14</xdr:col>
      <xdr:colOff>49149</xdr:colOff>
      <xdr:row>8</xdr:row>
      <xdr:rowOff>70238</xdr:rowOff>
    </xdr:from>
    <xdr:to>
      <xdr:col>15</xdr:col>
      <xdr:colOff>79569</xdr:colOff>
      <xdr:row>10</xdr:row>
      <xdr:rowOff>132573</xdr:rowOff>
    </xdr:to>
    <xdr:grpSp>
      <xdr:nvGrpSpPr>
        <xdr:cNvPr id="189" name="Group 188">
          <a:extLst>
            <a:ext uri="{FF2B5EF4-FFF2-40B4-BE49-F238E27FC236}">
              <a16:creationId xmlns:a16="http://schemas.microsoft.com/office/drawing/2014/main" id="{7872CB60-9946-42E9-9694-9B4F024E1D7D}"/>
            </a:ext>
          </a:extLst>
        </xdr:cNvPr>
        <xdr:cNvGrpSpPr/>
      </xdr:nvGrpSpPr>
      <xdr:grpSpPr>
        <a:xfrm rot="5745273">
          <a:off x="9470879" y="1567333"/>
          <a:ext cx="494135" cy="693995"/>
          <a:chOff x="6385278" y="8128000"/>
          <a:chExt cx="564443" cy="812866"/>
        </a:xfrm>
        <a:solidFill>
          <a:schemeClr val="tx2">
            <a:lumMod val="50000"/>
          </a:schemeClr>
        </a:solidFill>
      </xdr:grpSpPr>
      <xdr:sp macro="" textlink="">
        <xdr:nvSpPr>
          <xdr:cNvPr id="190" name="Flowchart: Connector 189">
            <a:extLst>
              <a:ext uri="{FF2B5EF4-FFF2-40B4-BE49-F238E27FC236}">
                <a16:creationId xmlns:a16="http://schemas.microsoft.com/office/drawing/2014/main" id="{D2388832-25A0-5A48-9C52-B409BE125DAB}"/>
              </a:ext>
            </a:extLst>
          </xdr:cNvPr>
          <xdr:cNvSpPr/>
        </xdr:nvSpPr>
        <xdr:spPr>
          <a:xfrm>
            <a:off x="6632222" y="8128000"/>
            <a:ext cx="317499" cy="295713"/>
          </a:xfrm>
          <a:prstGeom prst="flowChartConnector">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1" name="Straight Connector 190">
            <a:extLst>
              <a:ext uri="{FF2B5EF4-FFF2-40B4-BE49-F238E27FC236}">
                <a16:creationId xmlns:a16="http://schemas.microsoft.com/office/drawing/2014/main" id="{2F2F48E7-0684-89EB-16FF-2729D9A492ED}"/>
              </a:ext>
            </a:extLst>
          </xdr:cNvPr>
          <xdr:cNvCxnSpPr/>
        </xdr:nvCxnSpPr>
        <xdr:spPr>
          <a:xfrm flipH="1">
            <a:off x="6385278" y="8410221"/>
            <a:ext cx="323074" cy="530645"/>
          </a:xfrm>
          <a:prstGeom prst="line">
            <a:avLst/>
          </a:prstGeom>
          <a:grpFill/>
          <a:ln w="9525">
            <a:solidFill>
              <a:schemeClr val="tx1">
                <a:lumMod val="65000"/>
                <a:lumOff val="35000"/>
                <a:alpha val="30000"/>
              </a:schemeClr>
            </a:solidFill>
            <a:tailEnd w="med" len="lg"/>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437965</xdr:colOff>
      <xdr:row>9</xdr:row>
      <xdr:rowOff>90775</xdr:rowOff>
    </xdr:from>
    <xdr:to>
      <xdr:col>14</xdr:col>
      <xdr:colOff>479118</xdr:colOff>
      <xdr:row>11</xdr:row>
      <xdr:rowOff>121834</xdr:rowOff>
    </xdr:to>
    <xdr:grpSp>
      <xdr:nvGrpSpPr>
        <xdr:cNvPr id="192" name="Group 191">
          <a:extLst>
            <a:ext uri="{FF2B5EF4-FFF2-40B4-BE49-F238E27FC236}">
              <a16:creationId xmlns:a16="http://schemas.microsoft.com/office/drawing/2014/main" id="{573EAD29-725F-432C-B567-00FB89301007}"/>
            </a:ext>
          </a:extLst>
        </xdr:cNvPr>
        <xdr:cNvGrpSpPr/>
      </xdr:nvGrpSpPr>
      <xdr:grpSpPr>
        <a:xfrm rot="7809002">
          <a:off x="9221887" y="1771653"/>
          <a:ext cx="466034" cy="698378"/>
          <a:chOff x="6385278" y="8128000"/>
          <a:chExt cx="564443" cy="812866"/>
        </a:xfrm>
        <a:solidFill>
          <a:schemeClr val="tx2">
            <a:lumMod val="50000"/>
          </a:schemeClr>
        </a:solidFill>
      </xdr:grpSpPr>
      <xdr:sp macro="" textlink="">
        <xdr:nvSpPr>
          <xdr:cNvPr id="193" name="Flowchart: Connector 192">
            <a:extLst>
              <a:ext uri="{FF2B5EF4-FFF2-40B4-BE49-F238E27FC236}">
                <a16:creationId xmlns:a16="http://schemas.microsoft.com/office/drawing/2014/main" id="{55139886-8B19-27EB-A7B4-29D4FAE03761}"/>
              </a:ext>
            </a:extLst>
          </xdr:cNvPr>
          <xdr:cNvSpPr/>
        </xdr:nvSpPr>
        <xdr:spPr>
          <a:xfrm>
            <a:off x="6632222" y="8128000"/>
            <a:ext cx="317499" cy="295713"/>
          </a:xfrm>
          <a:prstGeom prst="flowChartConnector">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4" name="Straight Connector 193">
            <a:extLst>
              <a:ext uri="{FF2B5EF4-FFF2-40B4-BE49-F238E27FC236}">
                <a16:creationId xmlns:a16="http://schemas.microsoft.com/office/drawing/2014/main" id="{FCC36285-E789-4225-7485-C2DCB9786A29}"/>
              </a:ext>
            </a:extLst>
          </xdr:cNvPr>
          <xdr:cNvCxnSpPr/>
        </xdr:nvCxnSpPr>
        <xdr:spPr>
          <a:xfrm flipH="1">
            <a:off x="6385278" y="8410221"/>
            <a:ext cx="323074" cy="530645"/>
          </a:xfrm>
          <a:prstGeom prst="line">
            <a:avLst/>
          </a:prstGeom>
          <a:grpFill/>
          <a:ln w="9525">
            <a:solidFill>
              <a:schemeClr val="tx1">
                <a:lumMod val="65000"/>
                <a:lumOff val="35000"/>
                <a:alpha val="30000"/>
              </a:schemeClr>
            </a:solidFill>
            <a:tailEnd w="med" len="lg"/>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14</xdr:col>
      <xdr:colOff>221545</xdr:colOff>
      <xdr:row>4</xdr:row>
      <xdr:rowOff>76197</xdr:rowOff>
    </xdr:from>
    <xdr:to>
      <xdr:col>15</xdr:col>
      <xdr:colOff>16933</xdr:colOff>
      <xdr:row>7</xdr:row>
      <xdr:rowOff>179208</xdr:rowOff>
    </xdr:to>
    <xdr:grpSp>
      <xdr:nvGrpSpPr>
        <xdr:cNvPr id="195" name="Group 194">
          <a:extLst>
            <a:ext uri="{FF2B5EF4-FFF2-40B4-BE49-F238E27FC236}">
              <a16:creationId xmlns:a16="http://schemas.microsoft.com/office/drawing/2014/main" id="{B2654380-94AD-4633-948E-4E1DD313C407}"/>
            </a:ext>
          </a:extLst>
        </xdr:cNvPr>
        <xdr:cNvGrpSpPr/>
      </xdr:nvGrpSpPr>
      <xdr:grpSpPr>
        <a:xfrm rot="1682208">
          <a:off x="9543345" y="876297"/>
          <a:ext cx="455788" cy="706261"/>
          <a:chOff x="6385278" y="8128000"/>
          <a:chExt cx="564443" cy="812866"/>
        </a:xfrm>
        <a:solidFill>
          <a:schemeClr val="tx2">
            <a:lumMod val="50000"/>
          </a:schemeClr>
        </a:solidFill>
      </xdr:grpSpPr>
      <xdr:sp macro="" textlink="">
        <xdr:nvSpPr>
          <xdr:cNvPr id="196" name="Flowchart: Connector 195">
            <a:extLst>
              <a:ext uri="{FF2B5EF4-FFF2-40B4-BE49-F238E27FC236}">
                <a16:creationId xmlns:a16="http://schemas.microsoft.com/office/drawing/2014/main" id="{B45E5640-5C50-1A2C-7F02-2007D641A3DA}"/>
              </a:ext>
            </a:extLst>
          </xdr:cNvPr>
          <xdr:cNvSpPr/>
        </xdr:nvSpPr>
        <xdr:spPr>
          <a:xfrm>
            <a:off x="6632222" y="8128000"/>
            <a:ext cx="317499" cy="295713"/>
          </a:xfrm>
          <a:prstGeom prst="flowChartConnector">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7" name="Straight Connector 196">
            <a:extLst>
              <a:ext uri="{FF2B5EF4-FFF2-40B4-BE49-F238E27FC236}">
                <a16:creationId xmlns:a16="http://schemas.microsoft.com/office/drawing/2014/main" id="{A4870491-8BC0-3861-998D-DDAD1556C22A}"/>
              </a:ext>
            </a:extLst>
          </xdr:cNvPr>
          <xdr:cNvCxnSpPr/>
        </xdr:nvCxnSpPr>
        <xdr:spPr>
          <a:xfrm flipH="1">
            <a:off x="6385278" y="8410221"/>
            <a:ext cx="323074" cy="530645"/>
          </a:xfrm>
          <a:prstGeom prst="line">
            <a:avLst/>
          </a:prstGeom>
          <a:grpFill/>
          <a:ln w="9525">
            <a:solidFill>
              <a:schemeClr val="tx1">
                <a:lumMod val="65000"/>
                <a:lumOff val="35000"/>
                <a:alpha val="30000"/>
              </a:schemeClr>
            </a:solidFill>
            <a:tailEnd w="med" len="lg"/>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14</xdr:col>
      <xdr:colOff>169840</xdr:colOff>
      <xdr:row>6</xdr:row>
      <xdr:rowOff>140409</xdr:rowOff>
    </xdr:from>
    <xdr:to>
      <xdr:col>15</xdr:col>
      <xdr:colOff>205118</xdr:colOff>
      <xdr:row>9</xdr:row>
      <xdr:rowOff>1872</xdr:rowOff>
    </xdr:to>
    <xdr:grpSp>
      <xdr:nvGrpSpPr>
        <xdr:cNvPr id="198" name="Group 197">
          <a:extLst>
            <a:ext uri="{FF2B5EF4-FFF2-40B4-BE49-F238E27FC236}">
              <a16:creationId xmlns:a16="http://schemas.microsoft.com/office/drawing/2014/main" id="{0D96522A-47C1-4F8A-AE61-31C4D818C2C0}"/>
            </a:ext>
          </a:extLst>
        </xdr:cNvPr>
        <xdr:cNvGrpSpPr/>
      </xdr:nvGrpSpPr>
      <xdr:grpSpPr>
        <a:xfrm rot="3744762">
          <a:off x="9610297" y="1228252"/>
          <a:ext cx="458363" cy="689328"/>
          <a:chOff x="6385278" y="8128000"/>
          <a:chExt cx="564443" cy="812866"/>
        </a:xfrm>
        <a:solidFill>
          <a:schemeClr val="tx2">
            <a:lumMod val="50000"/>
          </a:schemeClr>
        </a:solidFill>
      </xdr:grpSpPr>
      <xdr:sp macro="" textlink="">
        <xdr:nvSpPr>
          <xdr:cNvPr id="199" name="Flowchart: Connector 198">
            <a:extLst>
              <a:ext uri="{FF2B5EF4-FFF2-40B4-BE49-F238E27FC236}">
                <a16:creationId xmlns:a16="http://schemas.microsoft.com/office/drawing/2014/main" id="{ADBAB407-B510-D67D-463C-4AE92BB6127E}"/>
              </a:ext>
            </a:extLst>
          </xdr:cNvPr>
          <xdr:cNvSpPr/>
        </xdr:nvSpPr>
        <xdr:spPr>
          <a:xfrm>
            <a:off x="6632222" y="8128000"/>
            <a:ext cx="317499" cy="295713"/>
          </a:xfrm>
          <a:prstGeom prst="flowChartConnector">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00" name="Straight Connector 199">
            <a:extLst>
              <a:ext uri="{FF2B5EF4-FFF2-40B4-BE49-F238E27FC236}">
                <a16:creationId xmlns:a16="http://schemas.microsoft.com/office/drawing/2014/main" id="{D5E9FC8D-9398-2383-4899-597D231161E6}"/>
              </a:ext>
            </a:extLst>
          </xdr:cNvPr>
          <xdr:cNvCxnSpPr/>
        </xdr:nvCxnSpPr>
        <xdr:spPr>
          <a:xfrm flipH="1">
            <a:off x="6385278" y="8410221"/>
            <a:ext cx="323074" cy="530645"/>
          </a:xfrm>
          <a:prstGeom prst="line">
            <a:avLst/>
          </a:prstGeom>
          <a:grpFill/>
          <a:ln w="9525">
            <a:solidFill>
              <a:schemeClr val="tx1">
                <a:lumMod val="65000"/>
                <a:lumOff val="35000"/>
                <a:alpha val="30000"/>
              </a:schemeClr>
            </a:solidFill>
            <a:tailEnd w="med" len="lg"/>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351364</xdr:colOff>
      <xdr:row>4</xdr:row>
      <xdr:rowOff>129824</xdr:rowOff>
    </xdr:from>
    <xdr:to>
      <xdr:col>13</xdr:col>
      <xdr:colOff>383820</xdr:colOff>
      <xdr:row>6</xdr:row>
      <xdr:rowOff>193323</xdr:rowOff>
    </xdr:to>
    <xdr:grpSp>
      <xdr:nvGrpSpPr>
        <xdr:cNvPr id="204" name="Group 203">
          <a:extLst>
            <a:ext uri="{FF2B5EF4-FFF2-40B4-BE49-F238E27FC236}">
              <a16:creationId xmlns:a16="http://schemas.microsoft.com/office/drawing/2014/main" id="{6E2A654E-59FB-4355-B080-1C4091DA7546}"/>
            </a:ext>
          </a:extLst>
        </xdr:cNvPr>
        <xdr:cNvGrpSpPr/>
      </xdr:nvGrpSpPr>
      <xdr:grpSpPr>
        <a:xfrm rot="16362026">
          <a:off x="8474955" y="816858"/>
          <a:ext cx="466724" cy="686506"/>
          <a:chOff x="6385278" y="8128000"/>
          <a:chExt cx="564443" cy="812866"/>
        </a:xfrm>
        <a:solidFill>
          <a:schemeClr val="tx2">
            <a:lumMod val="50000"/>
          </a:schemeClr>
        </a:solidFill>
      </xdr:grpSpPr>
      <xdr:sp macro="" textlink="">
        <xdr:nvSpPr>
          <xdr:cNvPr id="205" name="Flowchart: Connector 204">
            <a:extLst>
              <a:ext uri="{FF2B5EF4-FFF2-40B4-BE49-F238E27FC236}">
                <a16:creationId xmlns:a16="http://schemas.microsoft.com/office/drawing/2014/main" id="{12EE82A4-73FD-08B8-978F-2B05A107F425}"/>
              </a:ext>
            </a:extLst>
          </xdr:cNvPr>
          <xdr:cNvSpPr/>
        </xdr:nvSpPr>
        <xdr:spPr>
          <a:xfrm>
            <a:off x="6632222" y="8128000"/>
            <a:ext cx="317499" cy="295713"/>
          </a:xfrm>
          <a:prstGeom prst="flowChartConnector">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06" name="Straight Connector 205">
            <a:extLst>
              <a:ext uri="{FF2B5EF4-FFF2-40B4-BE49-F238E27FC236}">
                <a16:creationId xmlns:a16="http://schemas.microsoft.com/office/drawing/2014/main" id="{67F045C7-CA01-952A-9727-12921E1743CF}"/>
              </a:ext>
            </a:extLst>
          </xdr:cNvPr>
          <xdr:cNvCxnSpPr/>
        </xdr:nvCxnSpPr>
        <xdr:spPr>
          <a:xfrm flipH="1">
            <a:off x="6385278" y="8410221"/>
            <a:ext cx="323074" cy="530645"/>
          </a:xfrm>
          <a:prstGeom prst="line">
            <a:avLst/>
          </a:prstGeom>
          <a:grpFill/>
          <a:ln w="9525">
            <a:solidFill>
              <a:schemeClr val="tx1">
                <a:lumMod val="65000"/>
                <a:lumOff val="35000"/>
                <a:alpha val="30000"/>
              </a:schemeClr>
            </a:solidFill>
            <a:tailEnd w="med" len="lg"/>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52208</xdr:colOff>
      <xdr:row>3</xdr:row>
      <xdr:rowOff>98778</xdr:rowOff>
    </xdr:from>
    <xdr:to>
      <xdr:col>14</xdr:col>
      <xdr:colOff>84664</xdr:colOff>
      <xdr:row>5</xdr:row>
      <xdr:rowOff>162277</xdr:rowOff>
    </xdr:to>
    <xdr:grpSp>
      <xdr:nvGrpSpPr>
        <xdr:cNvPr id="207" name="Group 206">
          <a:extLst>
            <a:ext uri="{FF2B5EF4-FFF2-40B4-BE49-F238E27FC236}">
              <a16:creationId xmlns:a16="http://schemas.microsoft.com/office/drawing/2014/main" id="{B3558C0E-58D9-4009-95BF-567E4AC51735}"/>
            </a:ext>
          </a:extLst>
        </xdr:cNvPr>
        <xdr:cNvGrpSpPr/>
      </xdr:nvGrpSpPr>
      <xdr:grpSpPr>
        <a:xfrm rot="18722350">
          <a:off x="8836199" y="582612"/>
          <a:ext cx="457199" cy="696031"/>
          <a:chOff x="6385278" y="8128000"/>
          <a:chExt cx="564443" cy="812866"/>
        </a:xfrm>
        <a:solidFill>
          <a:schemeClr val="tx2">
            <a:lumMod val="50000"/>
          </a:schemeClr>
        </a:solidFill>
      </xdr:grpSpPr>
      <xdr:sp macro="" textlink="">
        <xdr:nvSpPr>
          <xdr:cNvPr id="208" name="Flowchart: Connector 207">
            <a:extLst>
              <a:ext uri="{FF2B5EF4-FFF2-40B4-BE49-F238E27FC236}">
                <a16:creationId xmlns:a16="http://schemas.microsoft.com/office/drawing/2014/main" id="{E7131E4B-BBBB-4863-043F-843B39DF851E}"/>
              </a:ext>
            </a:extLst>
          </xdr:cNvPr>
          <xdr:cNvSpPr/>
        </xdr:nvSpPr>
        <xdr:spPr>
          <a:xfrm>
            <a:off x="6632222" y="8128000"/>
            <a:ext cx="317499" cy="295713"/>
          </a:xfrm>
          <a:prstGeom prst="flowChartConnector">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09" name="Straight Connector 208">
            <a:extLst>
              <a:ext uri="{FF2B5EF4-FFF2-40B4-BE49-F238E27FC236}">
                <a16:creationId xmlns:a16="http://schemas.microsoft.com/office/drawing/2014/main" id="{45DEB5CD-BA6E-2F86-1666-C93A9875316A}"/>
              </a:ext>
            </a:extLst>
          </xdr:cNvPr>
          <xdr:cNvCxnSpPr/>
        </xdr:nvCxnSpPr>
        <xdr:spPr>
          <a:xfrm flipH="1">
            <a:off x="6385278" y="8410221"/>
            <a:ext cx="323074" cy="530645"/>
          </a:xfrm>
          <a:prstGeom prst="line">
            <a:avLst/>
          </a:prstGeom>
          <a:grpFill/>
          <a:ln w="9525">
            <a:solidFill>
              <a:schemeClr val="tx1">
                <a:lumMod val="65000"/>
                <a:lumOff val="35000"/>
                <a:alpha val="30000"/>
              </a:schemeClr>
            </a:solidFill>
            <a:tailEnd w="med" len="lg"/>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584200</xdr:colOff>
      <xdr:row>3</xdr:row>
      <xdr:rowOff>12702</xdr:rowOff>
    </xdr:from>
    <xdr:to>
      <xdr:col>14</xdr:col>
      <xdr:colOff>379588</xdr:colOff>
      <xdr:row>6</xdr:row>
      <xdr:rowOff>115714</xdr:rowOff>
    </xdr:to>
    <xdr:grpSp>
      <xdr:nvGrpSpPr>
        <xdr:cNvPr id="210" name="Group 209">
          <a:extLst>
            <a:ext uri="{FF2B5EF4-FFF2-40B4-BE49-F238E27FC236}">
              <a16:creationId xmlns:a16="http://schemas.microsoft.com/office/drawing/2014/main" id="{549049CE-084E-423D-B3AE-688DD5B58214}"/>
            </a:ext>
          </a:extLst>
        </xdr:cNvPr>
        <xdr:cNvGrpSpPr/>
      </xdr:nvGrpSpPr>
      <xdr:grpSpPr>
        <a:xfrm rot="21080157">
          <a:off x="9248775" y="609602"/>
          <a:ext cx="455788" cy="706262"/>
          <a:chOff x="6385278" y="8128000"/>
          <a:chExt cx="564443" cy="812866"/>
        </a:xfrm>
        <a:solidFill>
          <a:schemeClr val="tx2">
            <a:lumMod val="50000"/>
          </a:schemeClr>
        </a:solidFill>
      </xdr:grpSpPr>
      <xdr:sp macro="" textlink="">
        <xdr:nvSpPr>
          <xdr:cNvPr id="211" name="Flowchart: Connector 210">
            <a:extLst>
              <a:ext uri="{FF2B5EF4-FFF2-40B4-BE49-F238E27FC236}">
                <a16:creationId xmlns:a16="http://schemas.microsoft.com/office/drawing/2014/main" id="{823C8892-ABE2-A156-7A16-6BAF28B4D988}"/>
              </a:ext>
            </a:extLst>
          </xdr:cNvPr>
          <xdr:cNvSpPr/>
        </xdr:nvSpPr>
        <xdr:spPr>
          <a:xfrm>
            <a:off x="6632222" y="8128000"/>
            <a:ext cx="317499" cy="295713"/>
          </a:xfrm>
          <a:prstGeom prst="flowChartConnector">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12" name="Straight Connector 211">
            <a:extLst>
              <a:ext uri="{FF2B5EF4-FFF2-40B4-BE49-F238E27FC236}">
                <a16:creationId xmlns:a16="http://schemas.microsoft.com/office/drawing/2014/main" id="{ACC0FD5D-B443-FEC3-48C1-A22C5ADB502D}"/>
              </a:ext>
            </a:extLst>
          </xdr:cNvPr>
          <xdr:cNvCxnSpPr/>
        </xdr:nvCxnSpPr>
        <xdr:spPr>
          <a:xfrm flipH="1">
            <a:off x="6385278" y="8410221"/>
            <a:ext cx="323074" cy="530645"/>
          </a:xfrm>
          <a:prstGeom prst="line">
            <a:avLst/>
          </a:prstGeom>
          <a:grpFill/>
          <a:ln w="9525">
            <a:solidFill>
              <a:schemeClr val="tx1">
                <a:lumMod val="65000"/>
                <a:lumOff val="35000"/>
                <a:alpha val="30000"/>
              </a:schemeClr>
            </a:solidFill>
            <a:tailEnd w="med" len="lg"/>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111554</xdr:colOff>
      <xdr:row>8</xdr:row>
      <xdr:rowOff>68648</xdr:rowOff>
    </xdr:from>
    <xdr:to>
      <xdr:col>8</xdr:col>
      <xdr:colOff>148739</xdr:colOff>
      <xdr:row>10</xdr:row>
      <xdr:rowOff>130048</xdr:rowOff>
    </xdr:to>
    <xdr:grpSp>
      <xdr:nvGrpSpPr>
        <xdr:cNvPr id="213" name="Group 212">
          <a:extLst>
            <a:ext uri="{FF2B5EF4-FFF2-40B4-BE49-F238E27FC236}">
              <a16:creationId xmlns:a16="http://schemas.microsoft.com/office/drawing/2014/main" id="{D563D192-427C-4543-882B-7414BF83767F}"/>
            </a:ext>
          </a:extLst>
        </xdr:cNvPr>
        <xdr:cNvGrpSpPr/>
      </xdr:nvGrpSpPr>
      <xdr:grpSpPr>
        <a:xfrm rot="16200000">
          <a:off x="4936559" y="1565068"/>
          <a:ext cx="490025" cy="691235"/>
          <a:chOff x="6385278" y="8128000"/>
          <a:chExt cx="564443" cy="812866"/>
        </a:xfrm>
        <a:solidFill>
          <a:schemeClr val="tx2">
            <a:lumMod val="50000"/>
          </a:schemeClr>
        </a:solidFill>
      </xdr:grpSpPr>
      <xdr:sp macro="" textlink="">
        <xdr:nvSpPr>
          <xdr:cNvPr id="214" name="Flowchart: Connector 213">
            <a:extLst>
              <a:ext uri="{FF2B5EF4-FFF2-40B4-BE49-F238E27FC236}">
                <a16:creationId xmlns:a16="http://schemas.microsoft.com/office/drawing/2014/main" id="{F23184B7-66C8-C479-B17A-349CB0FB2232}"/>
              </a:ext>
            </a:extLst>
          </xdr:cNvPr>
          <xdr:cNvSpPr/>
        </xdr:nvSpPr>
        <xdr:spPr>
          <a:xfrm>
            <a:off x="6632222" y="8128000"/>
            <a:ext cx="317499" cy="295713"/>
          </a:xfrm>
          <a:prstGeom prst="flowChartConnector">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15" name="Straight Connector 214">
            <a:extLst>
              <a:ext uri="{FF2B5EF4-FFF2-40B4-BE49-F238E27FC236}">
                <a16:creationId xmlns:a16="http://schemas.microsoft.com/office/drawing/2014/main" id="{E983B19F-46E9-5326-2DE7-FC63CF2ED34F}"/>
              </a:ext>
            </a:extLst>
          </xdr:cNvPr>
          <xdr:cNvCxnSpPr/>
        </xdr:nvCxnSpPr>
        <xdr:spPr>
          <a:xfrm flipH="1">
            <a:off x="6385278" y="8410221"/>
            <a:ext cx="323074" cy="530645"/>
          </a:xfrm>
          <a:prstGeom prst="line">
            <a:avLst/>
          </a:prstGeom>
          <a:grpFill/>
          <a:ln w="9525">
            <a:solidFill>
              <a:schemeClr val="tx1">
                <a:lumMod val="65000"/>
                <a:lumOff val="35000"/>
                <a:alpha val="30000"/>
              </a:schemeClr>
            </a:solidFill>
            <a:tailEnd w="med" len="lg"/>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643581</xdr:colOff>
      <xdr:row>25</xdr:row>
      <xdr:rowOff>17163</xdr:rowOff>
    </xdr:from>
    <xdr:to>
      <xdr:col>20</xdr:col>
      <xdr:colOff>20022</xdr:colOff>
      <xdr:row>27</xdr:row>
      <xdr:rowOff>78563</xdr:rowOff>
    </xdr:to>
    <xdr:grpSp>
      <xdr:nvGrpSpPr>
        <xdr:cNvPr id="216" name="Group 215">
          <a:extLst>
            <a:ext uri="{FF2B5EF4-FFF2-40B4-BE49-F238E27FC236}">
              <a16:creationId xmlns:a16="http://schemas.microsoft.com/office/drawing/2014/main" id="{100F024E-F3A5-405E-AE8B-AF042E24441B}"/>
            </a:ext>
          </a:extLst>
        </xdr:cNvPr>
        <xdr:cNvGrpSpPr/>
      </xdr:nvGrpSpPr>
      <xdr:grpSpPr>
        <a:xfrm rot="3501096">
          <a:off x="12710589" y="4930055"/>
          <a:ext cx="461450" cy="694066"/>
          <a:chOff x="6385278" y="8128000"/>
          <a:chExt cx="564443" cy="812866"/>
        </a:xfrm>
        <a:solidFill>
          <a:schemeClr val="tx2">
            <a:lumMod val="50000"/>
          </a:schemeClr>
        </a:solidFill>
      </xdr:grpSpPr>
      <xdr:sp macro="" textlink="">
        <xdr:nvSpPr>
          <xdr:cNvPr id="217" name="Flowchart: Connector 216">
            <a:extLst>
              <a:ext uri="{FF2B5EF4-FFF2-40B4-BE49-F238E27FC236}">
                <a16:creationId xmlns:a16="http://schemas.microsoft.com/office/drawing/2014/main" id="{39D3B583-61F9-AD15-034E-C6EA13FEFAF5}"/>
              </a:ext>
            </a:extLst>
          </xdr:cNvPr>
          <xdr:cNvSpPr/>
        </xdr:nvSpPr>
        <xdr:spPr>
          <a:xfrm>
            <a:off x="6632222" y="8128000"/>
            <a:ext cx="317499" cy="295713"/>
          </a:xfrm>
          <a:prstGeom prst="flowChartConnector">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18" name="Straight Connector 217">
            <a:extLst>
              <a:ext uri="{FF2B5EF4-FFF2-40B4-BE49-F238E27FC236}">
                <a16:creationId xmlns:a16="http://schemas.microsoft.com/office/drawing/2014/main" id="{FE117693-3BF3-CC01-E82C-7E38D65235EA}"/>
              </a:ext>
            </a:extLst>
          </xdr:cNvPr>
          <xdr:cNvCxnSpPr/>
        </xdr:nvCxnSpPr>
        <xdr:spPr>
          <a:xfrm flipH="1">
            <a:off x="6385278" y="8410221"/>
            <a:ext cx="323074" cy="530645"/>
          </a:xfrm>
          <a:prstGeom prst="line">
            <a:avLst/>
          </a:prstGeom>
          <a:grpFill/>
          <a:ln w="9525">
            <a:solidFill>
              <a:schemeClr val="tx1">
                <a:lumMod val="65000"/>
                <a:lumOff val="35000"/>
                <a:alpha val="30000"/>
              </a:schemeClr>
            </a:solidFill>
            <a:tailEnd w="med" len="lg"/>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19</xdr:col>
      <xdr:colOff>230010</xdr:colOff>
      <xdr:row>26</xdr:row>
      <xdr:rowOff>105833</xdr:rowOff>
    </xdr:from>
    <xdr:to>
      <xdr:col>20</xdr:col>
      <xdr:colOff>268112</xdr:colOff>
      <xdr:row>27</xdr:row>
      <xdr:rowOff>67736</xdr:rowOff>
    </xdr:to>
    <xdr:sp macro="" textlink="">
      <xdr:nvSpPr>
        <xdr:cNvPr id="225" name="TextBox 224">
          <a:extLst>
            <a:ext uri="{FF2B5EF4-FFF2-40B4-BE49-F238E27FC236}">
              <a16:creationId xmlns:a16="http://schemas.microsoft.com/office/drawing/2014/main" id="{82307274-D4C2-4C2A-8BB7-644E418B5F66}"/>
            </a:ext>
          </a:extLst>
        </xdr:cNvPr>
        <xdr:cNvSpPr txBox="1"/>
      </xdr:nvSpPr>
      <xdr:spPr>
        <a:xfrm>
          <a:off x="12831232" y="5270500"/>
          <a:ext cx="701324" cy="159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600">
              <a:solidFill>
                <a:schemeClr val="bg1"/>
              </a:solidFill>
              <a:latin typeface="Avenir Next LT Pro Light" panose="020B0304020202020204" pitchFamily="34" charset="0"/>
            </a:rPr>
            <a:t>Feeder Cattle</a:t>
          </a:r>
        </a:p>
      </xdr:txBody>
    </xdr:sp>
    <xdr:clientData/>
  </xdr:twoCellAnchor>
  <xdr:twoCellAnchor>
    <xdr:from>
      <xdr:col>17</xdr:col>
      <xdr:colOff>71965</xdr:colOff>
      <xdr:row>15</xdr:row>
      <xdr:rowOff>124178</xdr:rowOff>
    </xdr:from>
    <xdr:to>
      <xdr:col>18</xdr:col>
      <xdr:colOff>110067</xdr:colOff>
      <xdr:row>16</xdr:row>
      <xdr:rowOff>86081</xdr:rowOff>
    </xdr:to>
    <xdr:sp macro="" textlink="">
      <xdr:nvSpPr>
        <xdr:cNvPr id="229" name="TextBox 228">
          <a:extLst>
            <a:ext uri="{FF2B5EF4-FFF2-40B4-BE49-F238E27FC236}">
              <a16:creationId xmlns:a16="http://schemas.microsoft.com/office/drawing/2014/main" id="{CAE3C8DD-448A-4297-969C-6BE72F9434A0}"/>
            </a:ext>
          </a:extLst>
        </xdr:cNvPr>
        <xdr:cNvSpPr txBox="1"/>
      </xdr:nvSpPr>
      <xdr:spPr>
        <a:xfrm>
          <a:off x="11346743" y="3115734"/>
          <a:ext cx="701324" cy="159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600">
              <a:solidFill>
                <a:schemeClr val="bg1"/>
              </a:solidFill>
              <a:latin typeface="Avenir Next LT Pro Light" panose="020B0304020202020204" pitchFamily="34" charset="0"/>
            </a:rPr>
            <a:t>Labour</a:t>
          </a:r>
        </a:p>
      </xdr:txBody>
    </xdr:sp>
    <xdr:clientData/>
  </xdr:twoCellAnchor>
  <xdr:twoCellAnchor>
    <xdr:from>
      <xdr:col>14</xdr:col>
      <xdr:colOff>282003</xdr:colOff>
      <xdr:row>11</xdr:row>
      <xdr:rowOff>67334</xdr:rowOff>
    </xdr:from>
    <xdr:to>
      <xdr:col>15</xdr:col>
      <xdr:colOff>318069</xdr:colOff>
      <xdr:row>12</xdr:row>
      <xdr:rowOff>7364</xdr:rowOff>
    </xdr:to>
    <xdr:sp macro="" textlink="">
      <xdr:nvSpPr>
        <xdr:cNvPr id="230" name="TextBox 229">
          <a:extLst>
            <a:ext uri="{FF2B5EF4-FFF2-40B4-BE49-F238E27FC236}">
              <a16:creationId xmlns:a16="http://schemas.microsoft.com/office/drawing/2014/main" id="{32AFDA11-0008-4935-9835-F9FD514B455A}"/>
            </a:ext>
          </a:extLst>
        </xdr:cNvPr>
        <xdr:cNvSpPr txBox="1"/>
      </xdr:nvSpPr>
      <xdr:spPr>
        <a:xfrm>
          <a:off x="9538601" y="2260375"/>
          <a:ext cx="697252" cy="136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600">
              <a:solidFill>
                <a:schemeClr val="bg1"/>
              </a:solidFill>
              <a:latin typeface="Avenir Next LT Pro Light" panose="020B0304020202020204" pitchFamily="34" charset="0"/>
            </a:rPr>
            <a:t>Fuel &amp; Repairs</a:t>
          </a:r>
        </a:p>
      </xdr:txBody>
    </xdr:sp>
    <xdr:clientData/>
  </xdr:twoCellAnchor>
  <xdr:twoCellAnchor>
    <xdr:from>
      <xdr:col>14</xdr:col>
      <xdr:colOff>621324</xdr:colOff>
      <xdr:row>9</xdr:row>
      <xdr:rowOff>104304</xdr:rowOff>
    </xdr:from>
    <xdr:to>
      <xdr:col>16</xdr:col>
      <xdr:colOff>282658</xdr:colOff>
      <xdr:row>10</xdr:row>
      <xdr:rowOff>186581</xdr:rowOff>
    </xdr:to>
    <xdr:sp macro="" textlink="">
      <xdr:nvSpPr>
        <xdr:cNvPr id="231" name="TextBox 230">
          <a:extLst>
            <a:ext uri="{FF2B5EF4-FFF2-40B4-BE49-F238E27FC236}">
              <a16:creationId xmlns:a16="http://schemas.microsoft.com/office/drawing/2014/main" id="{59CEB83F-DC05-4E18-BA0E-9C34BA50D4DE}"/>
            </a:ext>
          </a:extLst>
        </xdr:cNvPr>
        <xdr:cNvSpPr txBox="1"/>
      </xdr:nvSpPr>
      <xdr:spPr>
        <a:xfrm>
          <a:off x="9877922" y="1871830"/>
          <a:ext cx="983705" cy="311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600">
              <a:solidFill>
                <a:schemeClr val="bg1"/>
              </a:solidFill>
              <a:latin typeface="Avenir Next LT Pro Light" panose="020B0304020202020204" pitchFamily="34" charset="0"/>
            </a:rPr>
            <a:t>Barn/Office</a:t>
          </a:r>
          <a:r>
            <a:rPr lang="en-US" sz="600" baseline="0">
              <a:solidFill>
                <a:schemeClr val="bg1"/>
              </a:solidFill>
              <a:latin typeface="Avenir Next LT Pro Light" panose="020B0304020202020204" pitchFamily="34" charset="0"/>
            </a:rPr>
            <a:t> Supplies</a:t>
          </a:r>
          <a:endParaRPr lang="en-US" sz="600">
            <a:solidFill>
              <a:schemeClr val="bg1"/>
            </a:solidFill>
            <a:latin typeface="Avenir Next LT Pro Light" panose="020B0304020202020204" pitchFamily="34" charset="0"/>
          </a:endParaRPr>
        </a:p>
      </xdr:txBody>
    </xdr:sp>
    <xdr:clientData/>
  </xdr:twoCellAnchor>
  <xdr:twoCellAnchor>
    <xdr:from>
      <xdr:col>12</xdr:col>
      <xdr:colOff>282215</xdr:colOff>
      <xdr:row>2</xdr:row>
      <xdr:rowOff>148172</xdr:rowOff>
    </xdr:from>
    <xdr:to>
      <xdr:col>13</xdr:col>
      <xdr:colOff>320317</xdr:colOff>
      <xdr:row>3</xdr:row>
      <xdr:rowOff>110074</xdr:rowOff>
    </xdr:to>
    <xdr:sp macro="" textlink="">
      <xdr:nvSpPr>
        <xdr:cNvPr id="232" name="TextBox 231">
          <a:extLst>
            <a:ext uri="{FF2B5EF4-FFF2-40B4-BE49-F238E27FC236}">
              <a16:creationId xmlns:a16="http://schemas.microsoft.com/office/drawing/2014/main" id="{B1750683-FDFA-4EFA-99CE-98EBB0646C6C}"/>
            </a:ext>
          </a:extLst>
        </xdr:cNvPr>
        <xdr:cNvSpPr txBox="1"/>
      </xdr:nvSpPr>
      <xdr:spPr>
        <a:xfrm>
          <a:off x="8240882" y="543283"/>
          <a:ext cx="701324" cy="159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600">
              <a:solidFill>
                <a:schemeClr val="bg1"/>
              </a:solidFill>
              <a:latin typeface="Avenir Next LT Pro Light" panose="020B0304020202020204" pitchFamily="34" charset="0"/>
            </a:rPr>
            <a:t>Insurance</a:t>
          </a:r>
        </a:p>
      </xdr:txBody>
    </xdr:sp>
    <xdr:clientData/>
  </xdr:twoCellAnchor>
  <xdr:twoCellAnchor>
    <xdr:from>
      <xdr:col>14</xdr:col>
      <xdr:colOff>561623</xdr:colOff>
      <xdr:row>4</xdr:row>
      <xdr:rowOff>159457</xdr:rowOff>
    </xdr:from>
    <xdr:to>
      <xdr:col>15</xdr:col>
      <xdr:colOff>599725</xdr:colOff>
      <xdr:row>5</xdr:row>
      <xdr:rowOff>121359</xdr:rowOff>
    </xdr:to>
    <xdr:sp macro="" textlink="">
      <xdr:nvSpPr>
        <xdr:cNvPr id="233" name="TextBox 232">
          <a:extLst>
            <a:ext uri="{FF2B5EF4-FFF2-40B4-BE49-F238E27FC236}">
              <a16:creationId xmlns:a16="http://schemas.microsoft.com/office/drawing/2014/main" id="{70A779D0-EB03-4927-BDF8-25A3DBCCB918}"/>
            </a:ext>
          </a:extLst>
        </xdr:cNvPr>
        <xdr:cNvSpPr txBox="1"/>
      </xdr:nvSpPr>
      <xdr:spPr>
        <a:xfrm>
          <a:off x="9846734" y="949679"/>
          <a:ext cx="701324" cy="159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600">
              <a:solidFill>
                <a:schemeClr val="bg1"/>
              </a:solidFill>
              <a:latin typeface="Avenir Next LT Pro Light" panose="020B0304020202020204" pitchFamily="34" charset="0"/>
            </a:rPr>
            <a:t>Utilities</a:t>
          </a:r>
        </a:p>
      </xdr:txBody>
    </xdr:sp>
    <xdr:clientData/>
  </xdr:twoCellAnchor>
  <xdr:twoCellAnchor>
    <xdr:from>
      <xdr:col>15</xdr:col>
      <xdr:colOff>72986</xdr:colOff>
      <xdr:row>7</xdr:row>
      <xdr:rowOff>539</xdr:rowOff>
    </xdr:from>
    <xdr:to>
      <xdr:col>16</xdr:col>
      <xdr:colOff>111087</xdr:colOff>
      <xdr:row>7</xdr:row>
      <xdr:rowOff>158834</xdr:rowOff>
    </xdr:to>
    <xdr:sp macro="" textlink="">
      <xdr:nvSpPr>
        <xdr:cNvPr id="234" name="TextBox 233">
          <a:extLst>
            <a:ext uri="{FF2B5EF4-FFF2-40B4-BE49-F238E27FC236}">
              <a16:creationId xmlns:a16="http://schemas.microsoft.com/office/drawing/2014/main" id="{CB34535E-A379-44E3-B59F-C2E385139179}"/>
            </a:ext>
          </a:extLst>
        </xdr:cNvPr>
        <xdr:cNvSpPr txBox="1"/>
      </xdr:nvSpPr>
      <xdr:spPr>
        <a:xfrm>
          <a:off x="9990770" y="1375281"/>
          <a:ext cx="699286" cy="1582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600">
              <a:solidFill>
                <a:schemeClr val="bg1"/>
              </a:solidFill>
              <a:latin typeface="Avenir Next LT Pro Light" panose="020B0304020202020204" pitchFamily="34" charset="0"/>
            </a:rPr>
            <a:t>Veterinary</a:t>
          </a:r>
        </a:p>
      </xdr:txBody>
    </xdr:sp>
    <xdr:clientData/>
  </xdr:twoCellAnchor>
  <xdr:twoCellAnchor>
    <xdr:from>
      <xdr:col>14</xdr:col>
      <xdr:colOff>232832</xdr:colOff>
      <xdr:row>2</xdr:row>
      <xdr:rowOff>148165</xdr:rowOff>
    </xdr:from>
    <xdr:to>
      <xdr:col>16</xdr:col>
      <xdr:colOff>70555</xdr:colOff>
      <xdr:row>4</xdr:row>
      <xdr:rowOff>56443</xdr:rowOff>
    </xdr:to>
    <xdr:sp macro="" textlink="">
      <xdr:nvSpPr>
        <xdr:cNvPr id="235" name="TextBox 234">
          <a:extLst>
            <a:ext uri="{FF2B5EF4-FFF2-40B4-BE49-F238E27FC236}">
              <a16:creationId xmlns:a16="http://schemas.microsoft.com/office/drawing/2014/main" id="{ECACA165-9398-42C4-AE95-F2FB1E36FDBC}"/>
            </a:ext>
          </a:extLst>
        </xdr:cNvPr>
        <xdr:cNvSpPr txBox="1"/>
      </xdr:nvSpPr>
      <xdr:spPr>
        <a:xfrm>
          <a:off x="9517943" y="543276"/>
          <a:ext cx="1164168" cy="303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600">
              <a:solidFill>
                <a:schemeClr val="bg1"/>
              </a:solidFill>
              <a:latin typeface="Avenir Next LT Pro Light" panose="020B0304020202020204" pitchFamily="34" charset="0"/>
            </a:rPr>
            <a:t>Marketing/Transportation</a:t>
          </a:r>
        </a:p>
      </xdr:txBody>
    </xdr:sp>
    <xdr:clientData/>
  </xdr:twoCellAnchor>
  <xdr:twoCellAnchor>
    <xdr:from>
      <xdr:col>11</xdr:col>
      <xdr:colOff>448734</xdr:colOff>
      <xdr:row>4</xdr:row>
      <xdr:rowOff>95956</xdr:rowOff>
    </xdr:from>
    <xdr:to>
      <xdr:col>12</xdr:col>
      <xdr:colOff>486835</xdr:colOff>
      <xdr:row>5</xdr:row>
      <xdr:rowOff>57858</xdr:rowOff>
    </xdr:to>
    <xdr:sp macro="" textlink="">
      <xdr:nvSpPr>
        <xdr:cNvPr id="236" name="TextBox 235">
          <a:extLst>
            <a:ext uri="{FF2B5EF4-FFF2-40B4-BE49-F238E27FC236}">
              <a16:creationId xmlns:a16="http://schemas.microsoft.com/office/drawing/2014/main" id="{859D5356-23A7-4070-99FC-7C540BD3A085}"/>
            </a:ext>
          </a:extLst>
        </xdr:cNvPr>
        <xdr:cNvSpPr txBox="1"/>
      </xdr:nvSpPr>
      <xdr:spPr>
        <a:xfrm>
          <a:off x="7744178" y="886178"/>
          <a:ext cx="701324" cy="159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600">
              <a:solidFill>
                <a:schemeClr val="bg1"/>
              </a:solidFill>
              <a:latin typeface="Avenir Next LT Pro Light" panose="020B0304020202020204" pitchFamily="34" charset="0"/>
            </a:rPr>
            <a:t>Death</a:t>
          </a:r>
          <a:r>
            <a:rPr lang="en-US" sz="600" baseline="0">
              <a:solidFill>
                <a:schemeClr val="bg1"/>
              </a:solidFill>
              <a:latin typeface="Avenir Next LT Pro Light" panose="020B0304020202020204" pitchFamily="34" charset="0"/>
            </a:rPr>
            <a:t> Loss</a:t>
          </a:r>
          <a:endParaRPr lang="en-US" sz="600">
            <a:solidFill>
              <a:schemeClr val="bg1"/>
            </a:solidFill>
            <a:latin typeface="Avenir Next LT Pro Light" panose="020B0304020202020204" pitchFamily="34" charset="0"/>
          </a:endParaRPr>
        </a:p>
      </xdr:txBody>
    </xdr:sp>
    <xdr:clientData/>
  </xdr:twoCellAnchor>
  <xdr:twoCellAnchor>
    <xdr:from>
      <xdr:col>6</xdr:col>
      <xdr:colOff>162279</xdr:colOff>
      <xdr:row>30</xdr:row>
      <xdr:rowOff>49389</xdr:rowOff>
    </xdr:from>
    <xdr:to>
      <xdr:col>7</xdr:col>
      <xdr:colOff>200380</xdr:colOff>
      <xdr:row>31</xdr:row>
      <xdr:rowOff>11292</xdr:rowOff>
    </xdr:to>
    <xdr:sp macro="" textlink="">
      <xdr:nvSpPr>
        <xdr:cNvPr id="237" name="TextBox 236">
          <a:extLst>
            <a:ext uri="{FF2B5EF4-FFF2-40B4-BE49-F238E27FC236}">
              <a16:creationId xmlns:a16="http://schemas.microsoft.com/office/drawing/2014/main" id="{9B75EB71-5BAC-42FA-9878-A95AC23B6DC4}"/>
            </a:ext>
          </a:extLst>
        </xdr:cNvPr>
        <xdr:cNvSpPr txBox="1"/>
      </xdr:nvSpPr>
      <xdr:spPr>
        <a:xfrm>
          <a:off x="4141612" y="6004278"/>
          <a:ext cx="701324" cy="159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600">
              <a:solidFill>
                <a:schemeClr val="bg1"/>
              </a:solidFill>
              <a:latin typeface="Avenir Next LT Pro Light" panose="020B0304020202020204" pitchFamily="34" charset="0"/>
            </a:rPr>
            <a:t>Supplement</a:t>
          </a:r>
        </a:p>
      </xdr:txBody>
    </xdr:sp>
    <xdr:clientData/>
  </xdr:twoCellAnchor>
  <xdr:twoCellAnchor>
    <xdr:from>
      <xdr:col>5</xdr:col>
      <xdr:colOff>110067</xdr:colOff>
      <xdr:row>27</xdr:row>
      <xdr:rowOff>166511</xdr:rowOff>
    </xdr:from>
    <xdr:to>
      <xdr:col>6</xdr:col>
      <xdr:colOff>148169</xdr:colOff>
      <xdr:row>28</xdr:row>
      <xdr:rowOff>128413</xdr:rowOff>
    </xdr:to>
    <xdr:sp macro="" textlink="">
      <xdr:nvSpPr>
        <xdr:cNvPr id="238" name="TextBox 237">
          <a:extLst>
            <a:ext uri="{FF2B5EF4-FFF2-40B4-BE49-F238E27FC236}">
              <a16:creationId xmlns:a16="http://schemas.microsoft.com/office/drawing/2014/main" id="{89F355F5-E9D4-4E11-A08F-FFD4AE572AFA}"/>
            </a:ext>
          </a:extLst>
        </xdr:cNvPr>
        <xdr:cNvSpPr txBox="1"/>
      </xdr:nvSpPr>
      <xdr:spPr>
        <a:xfrm>
          <a:off x="3426178" y="5528733"/>
          <a:ext cx="701324" cy="159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600">
              <a:solidFill>
                <a:schemeClr val="bg1"/>
              </a:solidFill>
              <a:latin typeface="Avenir Next LT Pro Light" panose="020B0304020202020204" pitchFamily="34" charset="0"/>
            </a:rPr>
            <a:t>Grass Hay</a:t>
          </a:r>
        </a:p>
      </xdr:txBody>
    </xdr:sp>
    <xdr:clientData/>
  </xdr:twoCellAnchor>
  <xdr:twoCellAnchor>
    <xdr:from>
      <xdr:col>5</xdr:col>
      <xdr:colOff>93137</xdr:colOff>
      <xdr:row>21</xdr:row>
      <xdr:rowOff>191911</xdr:rowOff>
    </xdr:from>
    <xdr:to>
      <xdr:col>6</xdr:col>
      <xdr:colOff>131239</xdr:colOff>
      <xdr:row>22</xdr:row>
      <xdr:rowOff>153814</xdr:rowOff>
    </xdr:to>
    <xdr:sp macro="" textlink="">
      <xdr:nvSpPr>
        <xdr:cNvPr id="239" name="TextBox 238">
          <a:extLst>
            <a:ext uri="{FF2B5EF4-FFF2-40B4-BE49-F238E27FC236}">
              <a16:creationId xmlns:a16="http://schemas.microsoft.com/office/drawing/2014/main" id="{64A45C02-26EB-4D8A-B655-89BB0A3C76FE}"/>
            </a:ext>
          </a:extLst>
        </xdr:cNvPr>
        <xdr:cNvSpPr txBox="1"/>
      </xdr:nvSpPr>
      <xdr:spPr>
        <a:xfrm>
          <a:off x="3409248" y="4368800"/>
          <a:ext cx="701324" cy="159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600">
              <a:solidFill>
                <a:schemeClr val="bg1"/>
              </a:solidFill>
              <a:latin typeface="Avenir Next LT Pro Light" panose="020B0304020202020204" pitchFamily="34" charset="0"/>
            </a:rPr>
            <a:t>Rolled Barley</a:t>
          </a:r>
        </a:p>
      </xdr:txBody>
    </xdr:sp>
    <xdr:clientData/>
  </xdr:twoCellAnchor>
  <xdr:twoCellAnchor>
    <xdr:from>
      <xdr:col>6</xdr:col>
      <xdr:colOff>91723</xdr:colOff>
      <xdr:row>19</xdr:row>
      <xdr:rowOff>104419</xdr:rowOff>
    </xdr:from>
    <xdr:to>
      <xdr:col>7</xdr:col>
      <xdr:colOff>324555</xdr:colOff>
      <xdr:row>21</xdr:row>
      <xdr:rowOff>28222</xdr:rowOff>
    </xdr:to>
    <xdr:sp macro="" textlink="">
      <xdr:nvSpPr>
        <xdr:cNvPr id="240" name="TextBox 239">
          <a:extLst>
            <a:ext uri="{FF2B5EF4-FFF2-40B4-BE49-F238E27FC236}">
              <a16:creationId xmlns:a16="http://schemas.microsoft.com/office/drawing/2014/main" id="{982B61F8-BE94-441B-A7C8-1C577FE29B2E}"/>
            </a:ext>
          </a:extLst>
        </xdr:cNvPr>
        <xdr:cNvSpPr txBox="1"/>
      </xdr:nvSpPr>
      <xdr:spPr>
        <a:xfrm>
          <a:off x="4071056" y="3886197"/>
          <a:ext cx="896055" cy="318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600">
              <a:solidFill>
                <a:schemeClr val="bg1"/>
              </a:solidFill>
              <a:latin typeface="Avenir Next LT Pro Light" panose="020B0304020202020204" pitchFamily="34" charset="0"/>
            </a:rPr>
            <a:t>Corn/Barley Silage</a:t>
          </a:r>
        </a:p>
      </xdr:txBody>
    </xdr:sp>
    <xdr:clientData/>
  </xdr:twoCellAnchor>
  <xdr:twoCellAnchor>
    <xdr:from>
      <xdr:col>8</xdr:col>
      <xdr:colOff>606777</xdr:colOff>
      <xdr:row>32</xdr:row>
      <xdr:rowOff>190501</xdr:rowOff>
    </xdr:from>
    <xdr:to>
      <xdr:col>9</xdr:col>
      <xdr:colOff>644879</xdr:colOff>
      <xdr:row>33</xdr:row>
      <xdr:rowOff>152403</xdr:rowOff>
    </xdr:to>
    <xdr:sp macro="" textlink="">
      <xdr:nvSpPr>
        <xdr:cNvPr id="241" name="TextBox 240">
          <a:extLst>
            <a:ext uri="{FF2B5EF4-FFF2-40B4-BE49-F238E27FC236}">
              <a16:creationId xmlns:a16="http://schemas.microsoft.com/office/drawing/2014/main" id="{C40EC06F-160D-40D5-B8A5-EF941D6E52F1}"/>
            </a:ext>
          </a:extLst>
        </xdr:cNvPr>
        <xdr:cNvSpPr txBox="1"/>
      </xdr:nvSpPr>
      <xdr:spPr>
        <a:xfrm>
          <a:off x="5912555" y="6540501"/>
          <a:ext cx="701324" cy="159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600">
              <a:solidFill>
                <a:schemeClr val="bg1"/>
              </a:solidFill>
              <a:latin typeface="Avenir Next LT Pro Light" panose="020B0304020202020204" pitchFamily="34" charset="0"/>
            </a:rPr>
            <a:t>Investment</a:t>
          </a:r>
        </a:p>
      </xdr:txBody>
    </xdr:sp>
    <xdr:clientData/>
  </xdr:twoCellAnchor>
  <xdr:twoCellAnchor>
    <xdr:from>
      <xdr:col>8</xdr:col>
      <xdr:colOff>519289</xdr:colOff>
      <xdr:row>37</xdr:row>
      <xdr:rowOff>88900</xdr:rowOff>
    </xdr:from>
    <xdr:to>
      <xdr:col>9</xdr:col>
      <xdr:colOff>557391</xdr:colOff>
      <xdr:row>38</xdr:row>
      <xdr:rowOff>50803</xdr:rowOff>
    </xdr:to>
    <xdr:sp macro="" textlink="">
      <xdr:nvSpPr>
        <xdr:cNvPr id="242" name="TextBox 241">
          <a:extLst>
            <a:ext uri="{FF2B5EF4-FFF2-40B4-BE49-F238E27FC236}">
              <a16:creationId xmlns:a16="http://schemas.microsoft.com/office/drawing/2014/main" id="{A0F1485A-A9A3-4FDF-B290-A9E701FE1D59}"/>
            </a:ext>
          </a:extLst>
        </xdr:cNvPr>
        <xdr:cNvSpPr txBox="1"/>
      </xdr:nvSpPr>
      <xdr:spPr>
        <a:xfrm>
          <a:off x="5825067" y="7426678"/>
          <a:ext cx="701324" cy="159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600">
              <a:solidFill>
                <a:schemeClr val="bg1"/>
              </a:solidFill>
              <a:latin typeface="Avenir Next LT Pro Light" panose="020B0304020202020204" pitchFamily="34" charset="0"/>
            </a:rPr>
            <a:t>Depreciation</a:t>
          </a:r>
        </a:p>
      </xdr:txBody>
    </xdr:sp>
    <xdr:clientData/>
  </xdr:twoCellAnchor>
  <xdr:twoCellAnchor>
    <xdr:from>
      <xdr:col>6</xdr:col>
      <xdr:colOff>530579</xdr:colOff>
      <xdr:row>7</xdr:row>
      <xdr:rowOff>114301</xdr:rowOff>
    </xdr:from>
    <xdr:to>
      <xdr:col>7</xdr:col>
      <xdr:colOff>568680</xdr:colOff>
      <xdr:row>8</xdr:row>
      <xdr:rowOff>76204</xdr:rowOff>
    </xdr:to>
    <xdr:sp macro="" textlink="">
      <xdr:nvSpPr>
        <xdr:cNvPr id="243" name="TextBox 242">
          <a:extLst>
            <a:ext uri="{FF2B5EF4-FFF2-40B4-BE49-F238E27FC236}">
              <a16:creationId xmlns:a16="http://schemas.microsoft.com/office/drawing/2014/main" id="{C808F1F9-016C-4DDE-A21B-2C63D18BCAB9}"/>
            </a:ext>
          </a:extLst>
        </xdr:cNvPr>
        <xdr:cNvSpPr txBox="1"/>
      </xdr:nvSpPr>
      <xdr:spPr>
        <a:xfrm>
          <a:off x="4509912" y="1497190"/>
          <a:ext cx="701324" cy="159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600">
              <a:solidFill>
                <a:schemeClr val="bg1"/>
              </a:solidFill>
              <a:latin typeface="Avenir Next LT Pro Light" panose="020B0304020202020204" pitchFamily="34" charset="0"/>
            </a:rPr>
            <a:t>Interest</a:t>
          </a:r>
        </a:p>
      </xdr:txBody>
    </xdr:sp>
    <xdr:clientData/>
  </xdr:twoCellAnchor>
  <xdr:twoCellAnchor>
    <xdr:from>
      <xdr:col>6</xdr:col>
      <xdr:colOff>647701</xdr:colOff>
      <xdr:row>8</xdr:row>
      <xdr:rowOff>87493</xdr:rowOff>
    </xdr:from>
    <xdr:to>
      <xdr:col>7</xdr:col>
      <xdr:colOff>501321</xdr:colOff>
      <xdr:row>9</xdr:row>
      <xdr:rowOff>191660</xdr:rowOff>
    </xdr:to>
    <xdr:sp macro="" textlink="'Pivot Tables'!BE14">
      <xdr:nvSpPr>
        <xdr:cNvPr id="248" name="TextBox 98">
          <a:extLst>
            <a:ext uri="{FF2B5EF4-FFF2-40B4-BE49-F238E27FC236}">
              <a16:creationId xmlns:a16="http://schemas.microsoft.com/office/drawing/2014/main" id="{8A829700-DDAD-4832-9F34-A25573DD3167}"/>
            </a:ext>
          </a:extLst>
        </xdr:cNvPr>
        <xdr:cNvSpPr txBox="1"/>
      </xdr:nvSpPr>
      <xdr:spPr>
        <a:xfrm>
          <a:off x="4627034" y="1667937"/>
          <a:ext cx="516843" cy="301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4F4FC5B4-FD85-4B88-AA56-2154E1FB610F}" type="TxLink">
            <a:rPr lang="en-US" sz="800" b="0" i="0" u="none" strike="noStrike">
              <a:solidFill>
                <a:schemeClr val="bg1"/>
              </a:solidFill>
              <a:latin typeface="Calibri"/>
              <a:ea typeface="Calibri"/>
              <a:cs typeface="Calibri"/>
            </a:rPr>
            <a:pPr algn="ctr"/>
            <a:t>3.7%</a:t>
          </a:fld>
          <a:endParaRPr lang="en-US" sz="300">
            <a:solidFill>
              <a:schemeClr val="bg1"/>
            </a:solidFill>
            <a:latin typeface="Avenir Next LT Pro Light" panose="020B0304020202020204" pitchFamily="34" charset="0"/>
          </a:endParaRPr>
        </a:p>
      </xdr:txBody>
    </xdr:sp>
    <xdr:clientData/>
  </xdr:twoCellAnchor>
  <xdr:twoCellAnchor>
    <xdr:from>
      <xdr:col>19</xdr:col>
      <xdr:colOff>328788</xdr:colOff>
      <xdr:row>25</xdr:row>
      <xdr:rowOff>114302</xdr:rowOff>
    </xdr:from>
    <xdr:to>
      <xdr:col>20</xdr:col>
      <xdr:colOff>170452</xdr:colOff>
      <xdr:row>27</xdr:row>
      <xdr:rowOff>7253</xdr:rowOff>
    </xdr:to>
    <xdr:sp macro="" textlink="'Pivot Tables'!BE9">
      <xdr:nvSpPr>
        <xdr:cNvPr id="249" name="TextBox 248">
          <a:extLst>
            <a:ext uri="{FF2B5EF4-FFF2-40B4-BE49-F238E27FC236}">
              <a16:creationId xmlns:a16="http://schemas.microsoft.com/office/drawing/2014/main" id="{E80AF94D-42E2-4056-B301-219285E011D8}"/>
            </a:ext>
          </a:extLst>
        </xdr:cNvPr>
        <xdr:cNvSpPr txBox="1"/>
      </xdr:nvSpPr>
      <xdr:spPr>
        <a:xfrm>
          <a:off x="12930010" y="5081413"/>
          <a:ext cx="504886" cy="288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89BD256-6C99-4A1F-9772-DDFF0D3AED9F}" type="TxLink">
            <a:rPr lang="en-US" sz="700" b="0" i="0" u="none" strike="noStrike">
              <a:solidFill>
                <a:schemeClr val="bg1"/>
              </a:solidFill>
              <a:latin typeface="Calibri"/>
              <a:ea typeface="Calibri"/>
              <a:cs typeface="Calibri"/>
            </a:rPr>
            <a:pPr algn="ctr"/>
            <a:t>86.4%</a:t>
          </a:fld>
          <a:endParaRPr lang="en-US" sz="200">
            <a:solidFill>
              <a:schemeClr val="bg1"/>
            </a:solidFill>
            <a:latin typeface="Avenir Next LT Pro Light" panose="020B0304020202020204" pitchFamily="34" charset="0"/>
          </a:endParaRPr>
        </a:p>
      </xdr:txBody>
    </xdr:sp>
    <xdr:clientData/>
  </xdr:twoCellAnchor>
  <xdr:twoCellAnchor>
    <xdr:from>
      <xdr:col>17</xdr:col>
      <xdr:colOff>143932</xdr:colOff>
      <xdr:row>14</xdr:row>
      <xdr:rowOff>118534</xdr:rowOff>
    </xdr:from>
    <xdr:to>
      <xdr:col>18</xdr:col>
      <xdr:colOff>376</xdr:colOff>
      <xdr:row>16</xdr:row>
      <xdr:rowOff>27969</xdr:rowOff>
    </xdr:to>
    <xdr:sp macro="" textlink="'Pivot Tables'!BE16">
      <xdr:nvSpPr>
        <xdr:cNvPr id="250" name="TextBox 98">
          <a:extLst>
            <a:ext uri="{FF2B5EF4-FFF2-40B4-BE49-F238E27FC236}">
              <a16:creationId xmlns:a16="http://schemas.microsoft.com/office/drawing/2014/main" id="{2D082F95-0A4D-46EE-A9A6-D8546CF37468}"/>
            </a:ext>
          </a:extLst>
        </xdr:cNvPr>
        <xdr:cNvSpPr txBox="1"/>
      </xdr:nvSpPr>
      <xdr:spPr>
        <a:xfrm>
          <a:off x="11418710" y="2912534"/>
          <a:ext cx="519666" cy="3045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C8DC97D1-D967-4E17-9AE9-012E14920876}" type="TxLink">
            <a:rPr lang="en-US" sz="800" b="0" i="0" u="none" strike="noStrike">
              <a:solidFill>
                <a:schemeClr val="bg1"/>
              </a:solidFill>
              <a:latin typeface="Calibri"/>
              <a:ea typeface="Calibri"/>
              <a:cs typeface="Calibri"/>
            </a:rPr>
            <a:pPr algn="ctr"/>
            <a:t>1.9%</a:t>
          </a:fld>
          <a:endParaRPr lang="en-US" sz="300">
            <a:solidFill>
              <a:schemeClr val="bg1"/>
            </a:solidFill>
            <a:latin typeface="Avenir Next LT Pro Light" panose="020B0304020202020204" pitchFamily="34" charset="0"/>
          </a:endParaRPr>
        </a:p>
      </xdr:txBody>
    </xdr:sp>
    <xdr:clientData/>
  </xdr:twoCellAnchor>
  <xdr:twoCellAnchor>
    <xdr:from>
      <xdr:col>13</xdr:col>
      <xdr:colOff>641326</xdr:colOff>
      <xdr:row>11</xdr:row>
      <xdr:rowOff>14967</xdr:rowOff>
    </xdr:from>
    <xdr:to>
      <xdr:col>14</xdr:col>
      <xdr:colOff>497770</xdr:colOff>
      <xdr:row>12</xdr:row>
      <xdr:rowOff>93735</xdr:rowOff>
    </xdr:to>
    <xdr:sp macro="" textlink="'Pivot Tables'!BE19">
      <xdr:nvSpPr>
        <xdr:cNvPr id="251" name="TextBox 98">
          <a:extLst>
            <a:ext uri="{FF2B5EF4-FFF2-40B4-BE49-F238E27FC236}">
              <a16:creationId xmlns:a16="http://schemas.microsoft.com/office/drawing/2014/main" id="{9935259F-F4AB-44DA-AE8C-B9DF008F50D0}"/>
            </a:ext>
          </a:extLst>
        </xdr:cNvPr>
        <xdr:cNvSpPr txBox="1"/>
      </xdr:nvSpPr>
      <xdr:spPr>
        <a:xfrm>
          <a:off x="9236738" y="2208008"/>
          <a:ext cx="517630" cy="275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0276F100-5B24-499C-93AE-1D72078B7921}" type="TxLink">
            <a:rPr lang="en-US" sz="800" b="0" i="0" u="none" strike="noStrike">
              <a:solidFill>
                <a:schemeClr val="bg1"/>
              </a:solidFill>
              <a:latin typeface="Calibri"/>
              <a:ea typeface="Calibri"/>
              <a:cs typeface="Calibri"/>
            </a:rPr>
            <a:pPr algn="ctr"/>
            <a:t>0.2%</a:t>
          </a:fld>
          <a:endParaRPr lang="en-US" sz="100">
            <a:solidFill>
              <a:schemeClr val="bg1"/>
            </a:solidFill>
            <a:latin typeface="Avenir Next LT Pro Light" panose="020B0304020202020204" pitchFamily="34" charset="0"/>
          </a:endParaRPr>
        </a:p>
      </xdr:txBody>
    </xdr:sp>
    <xdr:clientData/>
  </xdr:twoCellAnchor>
  <xdr:twoCellAnchor>
    <xdr:from>
      <xdr:col>14</xdr:col>
      <xdr:colOff>350900</xdr:colOff>
      <xdr:row>9</xdr:row>
      <xdr:rowOff>134493</xdr:rowOff>
    </xdr:from>
    <xdr:to>
      <xdr:col>15</xdr:col>
      <xdr:colOff>207344</xdr:colOff>
      <xdr:row>11</xdr:row>
      <xdr:rowOff>12361</xdr:rowOff>
    </xdr:to>
    <xdr:sp macro="" textlink="'Pivot Tables'!BE20">
      <xdr:nvSpPr>
        <xdr:cNvPr id="252" name="TextBox 98">
          <a:extLst>
            <a:ext uri="{FF2B5EF4-FFF2-40B4-BE49-F238E27FC236}">
              <a16:creationId xmlns:a16="http://schemas.microsoft.com/office/drawing/2014/main" id="{4704650C-66BB-497D-A6E8-BF25F73071D4}"/>
            </a:ext>
          </a:extLst>
        </xdr:cNvPr>
        <xdr:cNvSpPr txBox="1"/>
      </xdr:nvSpPr>
      <xdr:spPr>
        <a:xfrm>
          <a:off x="9607498" y="1902019"/>
          <a:ext cx="517630" cy="303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C8F5A43F-BA86-4EE6-8414-60567166BC38}" type="TxLink">
            <a:rPr lang="en-US" sz="800" b="0" i="0" u="none" strike="noStrike">
              <a:solidFill>
                <a:schemeClr val="bg1"/>
              </a:solidFill>
              <a:latin typeface="Calibri"/>
              <a:ea typeface="Calibri"/>
              <a:cs typeface="Calibri"/>
            </a:rPr>
            <a:pPr algn="ctr"/>
            <a:t>0.0%</a:t>
          </a:fld>
          <a:endParaRPr lang="en-US" sz="100">
            <a:solidFill>
              <a:schemeClr val="bg1"/>
            </a:solidFill>
            <a:latin typeface="Avenir Next LT Pro Light" panose="020B0304020202020204" pitchFamily="34" charset="0"/>
          </a:endParaRPr>
        </a:p>
      </xdr:txBody>
    </xdr:sp>
    <xdr:clientData/>
  </xdr:twoCellAnchor>
  <xdr:twoCellAnchor>
    <xdr:from>
      <xdr:col>12</xdr:col>
      <xdr:colOff>227188</xdr:colOff>
      <xdr:row>4</xdr:row>
      <xdr:rowOff>138290</xdr:rowOff>
    </xdr:from>
    <xdr:to>
      <xdr:col>13</xdr:col>
      <xdr:colOff>83632</xdr:colOff>
      <xdr:row>6</xdr:row>
      <xdr:rowOff>47725</xdr:rowOff>
    </xdr:to>
    <xdr:sp macro="" textlink="'Pivot Tables'!BE21">
      <xdr:nvSpPr>
        <xdr:cNvPr id="253" name="TextBox 98">
          <a:extLst>
            <a:ext uri="{FF2B5EF4-FFF2-40B4-BE49-F238E27FC236}">
              <a16:creationId xmlns:a16="http://schemas.microsoft.com/office/drawing/2014/main" id="{5A20F7A8-5246-409B-AB56-5E1E759BD3A2}"/>
            </a:ext>
          </a:extLst>
        </xdr:cNvPr>
        <xdr:cNvSpPr txBox="1"/>
      </xdr:nvSpPr>
      <xdr:spPr>
        <a:xfrm>
          <a:off x="8185855" y="928512"/>
          <a:ext cx="519666" cy="3045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AD53D237-2311-4E38-804F-AB674E8F7D27}" type="TxLink">
            <a:rPr lang="en-US" sz="800" b="0" i="0" u="none" strike="noStrike">
              <a:solidFill>
                <a:schemeClr val="bg1"/>
              </a:solidFill>
              <a:latin typeface="Calibri"/>
              <a:ea typeface="Calibri"/>
              <a:cs typeface="Calibri"/>
            </a:rPr>
            <a:pPr algn="ctr"/>
            <a:t>0.9%</a:t>
          </a:fld>
          <a:endParaRPr lang="en-US" sz="100">
            <a:solidFill>
              <a:schemeClr val="bg1"/>
            </a:solidFill>
            <a:latin typeface="Avenir Next LT Pro Light" panose="020B0304020202020204" pitchFamily="34" charset="0"/>
          </a:endParaRPr>
        </a:p>
      </xdr:txBody>
    </xdr:sp>
    <xdr:clientData/>
  </xdr:twoCellAnchor>
  <xdr:twoCellAnchor>
    <xdr:from>
      <xdr:col>13</xdr:col>
      <xdr:colOff>47977</xdr:colOff>
      <xdr:row>2</xdr:row>
      <xdr:rowOff>177800</xdr:rowOff>
    </xdr:from>
    <xdr:to>
      <xdr:col>13</xdr:col>
      <xdr:colOff>567643</xdr:colOff>
      <xdr:row>4</xdr:row>
      <xdr:rowOff>87235</xdr:rowOff>
    </xdr:to>
    <xdr:sp macro="" textlink="'Pivot Tables'!BE22">
      <xdr:nvSpPr>
        <xdr:cNvPr id="254" name="TextBox 98">
          <a:extLst>
            <a:ext uri="{FF2B5EF4-FFF2-40B4-BE49-F238E27FC236}">
              <a16:creationId xmlns:a16="http://schemas.microsoft.com/office/drawing/2014/main" id="{BB1C518A-D181-4AEB-8E52-FEA4D9DF3F6A}"/>
            </a:ext>
          </a:extLst>
        </xdr:cNvPr>
        <xdr:cNvSpPr txBox="1"/>
      </xdr:nvSpPr>
      <xdr:spPr>
        <a:xfrm>
          <a:off x="8669866" y="572911"/>
          <a:ext cx="519666" cy="3045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A59EF6CE-D0BC-4F63-B1B9-CBC39AE12AB7}" type="TxLink">
            <a:rPr lang="en-US" sz="800" b="0" i="0" u="none" strike="noStrike">
              <a:solidFill>
                <a:schemeClr val="bg1"/>
              </a:solidFill>
              <a:latin typeface="Calibri"/>
              <a:ea typeface="Calibri"/>
              <a:cs typeface="Calibri"/>
            </a:rPr>
            <a:pPr algn="ctr"/>
            <a:t>0.0%</a:t>
          </a:fld>
          <a:endParaRPr lang="en-US" sz="100">
            <a:solidFill>
              <a:schemeClr val="bg1"/>
            </a:solidFill>
            <a:latin typeface="Avenir Next LT Pro Light" panose="020B0304020202020204" pitchFamily="34" charset="0"/>
          </a:endParaRPr>
        </a:p>
      </xdr:txBody>
    </xdr:sp>
    <xdr:clientData/>
  </xdr:twoCellAnchor>
  <xdr:twoCellAnchor>
    <xdr:from>
      <xdr:col>13</xdr:col>
      <xdr:colOff>623708</xdr:colOff>
      <xdr:row>3</xdr:row>
      <xdr:rowOff>19756</xdr:rowOff>
    </xdr:from>
    <xdr:to>
      <xdr:col>14</xdr:col>
      <xdr:colOff>480152</xdr:colOff>
      <xdr:row>4</xdr:row>
      <xdr:rowOff>126747</xdr:rowOff>
    </xdr:to>
    <xdr:sp macro="" textlink="'Pivot Tables'!BE24">
      <xdr:nvSpPr>
        <xdr:cNvPr id="255" name="TextBox 98">
          <a:extLst>
            <a:ext uri="{FF2B5EF4-FFF2-40B4-BE49-F238E27FC236}">
              <a16:creationId xmlns:a16="http://schemas.microsoft.com/office/drawing/2014/main" id="{04199844-8AFC-46FE-A177-E46538BFC62B}"/>
            </a:ext>
          </a:extLst>
        </xdr:cNvPr>
        <xdr:cNvSpPr txBox="1"/>
      </xdr:nvSpPr>
      <xdr:spPr>
        <a:xfrm>
          <a:off x="9245597" y="612423"/>
          <a:ext cx="519666" cy="3045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DEBAF061-BD98-48D1-B795-0ECA921D7D2D}" type="TxLink">
            <a:rPr lang="en-US" sz="800" b="0" i="0" u="none" strike="noStrike">
              <a:solidFill>
                <a:schemeClr val="bg1"/>
              </a:solidFill>
              <a:latin typeface="Calibri"/>
              <a:ea typeface="Calibri"/>
              <a:cs typeface="Calibri"/>
            </a:rPr>
            <a:pPr algn="ctr"/>
            <a:t>2.0%</a:t>
          </a:fld>
          <a:endParaRPr lang="en-US" sz="100">
            <a:solidFill>
              <a:schemeClr val="bg1"/>
            </a:solidFill>
            <a:latin typeface="Avenir Next LT Pro Light" panose="020B0304020202020204" pitchFamily="34" charset="0"/>
          </a:endParaRPr>
        </a:p>
      </xdr:txBody>
    </xdr:sp>
    <xdr:clientData/>
  </xdr:twoCellAnchor>
  <xdr:twoCellAnchor>
    <xdr:from>
      <xdr:col>14</xdr:col>
      <xdr:colOff>381000</xdr:colOff>
      <xdr:row>4</xdr:row>
      <xdr:rowOff>169334</xdr:rowOff>
    </xdr:from>
    <xdr:to>
      <xdr:col>15</xdr:col>
      <xdr:colOff>237444</xdr:colOff>
      <xdr:row>6</xdr:row>
      <xdr:rowOff>78769</xdr:rowOff>
    </xdr:to>
    <xdr:sp macro="" textlink="'Pivot Tables'!BE26">
      <xdr:nvSpPr>
        <xdr:cNvPr id="256" name="TextBox 98">
          <a:extLst>
            <a:ext uri="{FF2B5EF4-FFF2-40B4-BE49-F238E27FC236}">
              <a16:creationId xmlns:a16="http://schemas.microsoft.com/office/drawing/2014/main" id="{BF7D7F51-1AEF-4771-840E-00501C15030E}"/>
            </a:ext>
          </a:extLst>
        </xdr:cNvPr>
        <xdr:cNvSpPr txBox="1"/>
      </xdr:nvSpPr>
      <xdr:spPr>
        <a:xfrm>
          <a:off x="9666111" y="959556"/>
          <a:ext cx="519666" cy="3045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A3ED8BC2-920E-4EC5-92B9-3718C47ED8EC}" type="TxLink">
            <a:rPr lang="en-US" sz="800" b="0" i="0" u="none" strike="noStrike">
              <a:solidFill>
                <a:schemeClr val="bg1"/>
              </a:solidFill>
              <a:latin typeface="Calibri"/>
              <a:ea typeface="Calibri"/>
              <a:cs typeface="Calibri"/>
            </a:rPr>
            <a:pPr algn="ctr"/>
            <a:t>0.1%</a:t>
          </a:fld>
          <a:endParaRPr lang="en-US" sz="100">
            <a:solidFill>
              <a:schemeClr val="bg1"/>
            </a:solidFill>
            <a:latin typeface="Avenir Next LT Pro Light" panose="020B0304020202020204" pitchFamily="34" charset="0"/>
          </a:endParaRPr>
        </a:p>
      </xdr:txBody>
    </xdr:sp>
    <xdr:clientData/>
  </xdr:twoCellAnchor>
  <xdr:twoCellAnchor>
    <xdr:from>
      <xdr:col>14</xdr:col>
      <xdr:colOff>508506</xdr:colOff>
      <xdr:row>7</xdr:row>
      <xdr:rowOff>37899</xdr:rowOff>
    </xdr:from>
    <xdr:to>
      <xdr:col>15</xdr:col>
      <xdr:colOff>364950</xdr:colOff>
      <xdr:row>8</xdr:row>
      <xdr:rowOff>143726</xdr:rowOff>
    </xdr:to>
    <xdr:sp macro="" textlink="'Pivot Tables'!BE27">
      <xdr:nvSpPr>
        <xdr:cNvPr id="257" name="TextBox 98">
          <a:extLst>
            <a:ext uri="{FF2B5EF4-FFF2-40B4-BE49-F238E27FC236}">
              <a16:creationId xmlns:a16="http://schemas.microsoft.com/office/drawing/2014/main" id="{CA92EE9E-270D-46B8-8930-BD857BFD54B4}"/>
            </a:ext>
          </a:extLst>
        </xdr:cNvPr>
        <xdr:cNvSpPr txBox="1"/>
      </xdr:nvSpPr>
      <xdr:spPr>
        <a:xfrm>
          <a:off x="9765104" y="1412641"/>
          <a:ext cx="517630" cy="3022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1A9BDE44-32B7-4F4D-927C-6B62BB2445AB}" type="TxLink">
            <a:rPr lang="en-US" sz="800" b="0" i="0" u="none" strike="noStrike">
              <a:solidFill>
                <a:schemeClr val="bg1"/>
              </a:solidFill>
              <a:latin typeface="Calibri"/>
              <a:ea typeface="Calibri"/>
              <a:cs typeface="Calibri"/>
            </a:rPr>
            <a:pPr algn="ctr"/>
            <a:t>0.5%</a:t>
          </a:fld>
          <a:endParaRPr lang="en-US" sz="100">
            <a:solidFill>
              <a:schemeClr val="bg1"/>
            </a:solidFill>
            <a:latin typeface="Avenir Next LT Pro Light" panose="020B0304020202020204" pitchFamily="34" charset="0"/>
          </a:endParaRPr>
        </a:p>
      </xdr:txBody>
    </xdr:sp>
    <xdr:clientData/>
  </xdr:twoCellAnchor>
  <xdr:twoCellAnchor>
    <xdr:from>
      <xdr:col>6</xdr:col>
      <xdr:colOff>275166</xdr:colOff>
      <xdr:row>20</xdr:row>
      <xdr:rowOff>84667</xdr:rowOff>
    </xdr:from>
    <xdr:to>
      <xdr:col>7</xdr:col>
      <xdr:colOff>131609</xdr:colOff>
      <xdr:row>21</xdr:row>
      <xdr:rowOff>191657</xdr:rowOff>
    </xdr:to>
    <xdr:sp macro="" textlink="'Pivot Tables'!BE5">
      <xdr:nvSpPr>
        <xdr:cNvPr id="258" name="TextBox 98">
          <a:extLst>
            <a:ext uri="{FF2B5EF4-FFF2-40B4-BE49-F238E27FC236}">
              <a16:creationId xmlns:a16="http://schemas.microsoft.com/office/drawing/2014/main" id="{69843EF8-B979-4D91-ADDE-564B58EB31A5}"/>
            </a:ext>
          </a:extLst>
        </xdr:cNvPr>
        <xdr:cNvSpPr txBox="1"/>
      </xdr:nvSpPr>
      <xdr:spPr>
        <a:xfrm>
          <a:off x="4254499" y="4064000"/>
          <a:ext cx="519666" cy="3045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9A204AD2-5AD3-4AA4-9098-A2857ABED237}" type="TxLink">
            <a:rPr lang="en-US" sz="800" b="0" i="0" u="none" strike="noStrike">
              <a:solidFill>
                <a:schemeClr val="bg1"/>
              </a:solidFill>
              <a:latin typeface="Calibri"/>
              <a:ea typeface="Calibri"/>
              <a:cs typeface="Calibri"/>
            </a:rPr>
            <a:pPr algn="ctr"/>
            <a:t>1.7%</a:t>
          </a:fld>
          <a:endParaRPr lang="en-US" sz="100">
            <a:solidFill>
              <a:schemeClr val="bg1"/>
            </a:solidFill>
            <a:latin typeface="Avenir Next LT Pro Light" panose="020B0304020202020204" pitchFamily="34" charset="0"/>
          </a:endParaRPr>
        </a:p>
      </xdr:txBody>
    </xdr:sp>
    <xdr:clientData/>
  </xdr:twoCellAnchor>
  <xdr:twoCellAnchor>
    <xdr:from>
      <xdr:col>5</xdr:col>
      <xdr:colOff>215901</xdr:colOff>
      <xdr:row>22</xdr:row>
      <xdr:rowOff>173568</xdr:rowOff>
    </xdr:from>
    <xdr:to>
      <xdr:col>6</xdr:col>
      <xdr:colOff>72345</xdr:colOff>
      <xdr:row>24</xdr:row>
      <xdr:rowOff>83002</xdr:rowOff>
    </xdr:to>
    <xdr:sp macro="" textlink="'Pivot Tables'!BE7">
      <xdr:nvSpPr>
        <xdr:cNvPr id="259" name="TextBox 98">
          <a:extLst>
            <a:ext uri="{FF2B5EF4-FFF2-40B4-BE49-F238E27FC236}">
              <a16:creationId xmlns:a16="http://schemas.microsoft.com/office/drawing/2014/main" id="{60656DE7-40C5-4503-9C1C-B2DAF23C0C00}"/>
            </a:ext>
          </a:extLst>
        </xdr:cNvPr>
        <xdr:cNvSpPr txBox="1"/>
      </xdr:nvSpPr>
      <xdr:spPr>
        <a:xfrm>
          <a:off x="3532012" y="4548012"/>
          <a:ext cx="519666" cy="3045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8C910A99-DD76-40CD-8577-8A2654494098}" type="TxLink">
            <a:rPr lang="en-US" sz="800" b="0" i="0" u="none" strike="noStrike">
              <a:solidFill>
                <a:schemeClr val="bg1"/>
              </a:solidFill>
              <a:latin typeface="Calibri"/>
              <a:ea typeface="Calibri"/>
              <a:cs typeface="Calibri"/>
            </a:rPr>
            <a:pPr algn="ctr"/>
            <a:t>0.0%</a:t>
          </a:fld>
          <a:endParaRPr lang="en-US" sz="100">
            <a:solidFill>
              <a:schemeClr val="bg1"/>
            </a:solidFill>
            <a:latin typeface="Avenir Next LT Pro Light" panose="020B0304020202020204" pitchFamily="34" charset="0"/>
          </a:endParaRPr>
        </a:p>
      </xdr:txBody>
    </xdr:sp>
    <xdr:clientData/>
  </xdr:twoCellAnchor>
  <xdr:twoCellAnchor>
    <xdr:from>
      <xdr:col>5</xdr:col>
      <xdr:colOff>206021</xdr:colOff>
      <xdr:row>26</xdr:row>
      <xdr:rowOff>149580</xdr:rowOff>
    </xdr:from>
    <xdr:to>
      <xdr:col>6</xdr:col>
      <xdr:colOff>62465</xdr:colOff>
      <xdr:row>28</xdr:row>
      <xdr:rowOff>59015</xdr:rowOff>
    </xdr:to>
    <xdr:sp macro="" textlink="'Pivot Tables'!BE6">
      <xdr:nvSpPr>
        <xdr:cNvPr id="260" name="TextBox 98">
          <a:extLst>
            <a:ext uri="{FF2B5EF4-FFF2-40B4-BE49-F238E27FC236}">
              <a16:creationId xmlns:a16="http://schemas.microsoft.com/office/drawing/2014/main" id="{A63382BE-00A3-4EC3-85D2-3AA9F8EBD1BE}"/>
            </a:ext>
          </a:extLst>
        </xdr:cNvPr>
        <xdr:cNvSpPr txBox="1"/>
      </xdr:nvSpPr>
      <xdr:spPr>
        <a:xfrm>
          <a:off x="3522132" y="5314247"/>
          <a:ext cx="519666" cy="3045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90F1BE31-D7B1-4742-8071-BC681C817290}" type="TxLink">
            <a:rPr lang="en-US" sz="800" b="0" i="0" u="none" strike="noStrike">
              <a:solidFill>
                <a:schemeClr val="bg1"/>
              </a:solidFill>
              <a:latin typeface="Calibri"/>
              <a:ea typeface="Calibri"/>
              <a:cs typeface="Calibri"/>
            </a:rPr>
            <a:pPr algn="ctr"/>
            <a:t>0.0%</a:t>
          </a:fld>
          <a:endParaRPr lang="en-US" sz="100">
            <a:solidFill>
              <a:schemeClr val="bg1"/>
            </a:solidFill>
            <a:latin typeface="Avenir Next LT Pro Light" panose="020B0304020202020204" pitchFamily="34" charset="0"/>
          </a:endParaRPr>
        </a:p>
      </xdr:txBody>
    </xdr:sp>
    <xdr:clientData/>
  </xdr:twoCellAnchor>
  <xdr:twoCellAnchor>
    <xdr:from>
      <xdr:col>6</xdr:col>
      <xdr:colOff>259645</xdr:colOff>
      <xdr:row>29</xdr:row>
      <xdr:rowOff>47979</xdr:rowOff>
    </xdr:from>
    <xdr:to>
      <xdr:col>7</xdr:col>
      <xdr:colOff>116088</xdr:colOff>
      <xdr:row>30</xdr:row>
      <xdr:rowOff>154969</xdr:rowOff>
    </xdr:to>
    <xdr:sp macro="" textlink="'Pivot Tables'!BE8">
      <xdr:nvSpPr>
        <xdr:cNvPr id="261" name="TextBox 98">
          <a:extLst>
            <a:ext uri="{FF2B5EF4-FFF2-40B4-BE49-F238E27FC236}">
              <a16:creationId xmlns:a16="http://schemas.microsoft.com/office/drawing/2014/main" id="{5F77A867-2302-4AC5-B699-7524E9A51BC3}"/>
            </a:ext>
          </a:extLst>
        </xdr:cNvPr>
        <xdr:cNvSpPr txBox="1"/>
      </xdr:nvSpPr>
      <xdr:spPr>
        <a:xfrm>
          <a:off x="4238978" y="5805312"/>
          <a:ext cx="519666" cy="3045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99C8DE8F-422A-4DA0-956F-F63C999C5054}" type="TxLink">
            <a:rPr lang="en-US" sz="800" b="0" i="0" u="none" strike="noStrike">
              <a:solidFill>
                <a:schemeClr val="bg1"/>
              </a:solidFill>
              <a:latin typeface="Calibri"/>
              <a:ea typeface="Calibri"/>
              <a:cs typeface="Calibri"/>
            </a:rPr>
            <a:pPr algn="ctr"/>
            <a:t>0.6%</a:t>
          </a:fld>
          <a:endParaRPr lang="en-US" sz="100">
            <a:solidFill>
              <a:schemeClr val="bg1"/>
            </a:solidFill>
            <a:latin typeface="Avenir Next LT Pro Light" panose="020B0304020202020204" pitchFamily="34" charset="0"/>
          </a:endParaRPr>
        </a:p>
      </xdr:txBody>
    </xdr:sp>
    <xdr:clientData/>
  </xdr:twoCellAnchor>
  <xdr:twoCellAnchor>
    <xdr:from>
      <xdr:col>9</xdr:col>
      <xdr:colOff>320321</xdr:colOff>
      <xdr:row>37</xdr:row>
      <xdr:rowOff>73379</xdr:rowOff>
    </xdr:from>
    <xdr:to>
      <xdr:col>10</xdr:col>
      <xdr:colOff>176765</xdr:colOff>
      <xdr:row>38</xdr:row>
      <xdr:rowOff>180370</xdr:rowOff>
    </xdr:to>
    <xdr:sp macro="" textlink="'Pivot Tables'!BE12">
      <xdr:nvSpPr>
        <xdr:cNvPr id="263" name="TextBox 98">
          <a:extLst>
            <a:ext uri="{FF2B5EF4-FFF2-40B4-BE49-F238E27FC236}">
              <a16:creationId xmlns:a16="http://schemas.microsoft.com/office/drawing/2014/main" id="{CCA365AF-6ACC-4D26-BE50-EA187F8668D7}"/>
            </a:ext>
          </a:extLst>
        </xdr:cNvPr>
        <xdr:cNvSpPr txBox="1"/>
      </xdr:nvSpPr>
      <xdr:spPr>
        <a:xfrm>
          <a:off x="6289321" y="7411157"/>
          <a:ext cx="519666" cy="3045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BA070B41-C12B-4735-9D98-A54EDB1E3E8B}" type="TxLink">
            <a:rPr lang="en-US" sz="800" b="0" i="0" u="none" strike="noStrike">
              <a:solidFill>
                <a:schemeClr val="bg1"/>
              </a:solidFill>
              <a:latin typeface="Calibri"/>
              <a:ea typeface="Calibri"/>
              <a:cs typeface="Calibri"/>
            </a:rPr>
            <a:pPr algn="ctr"/>
            <a:t>0.4%</a:t>
          </a:fld>
          <a:endParaRPr lang="en-US" sz="100">
            <a:solidFill>
              <a:schemeClr val="bg1"/>
            </a:solidFill>
            <a:latin typeface="Avenir Next LT Pro Light" panose="020B0304020202020204" pitchFamily="34" charset="0"/>
          </a:endParaRPr>
        </a:p>
      </xdr:txBody>
    </xdr:sp>
    <xdr:clientData/>
  </xdr:twoCellAnchor>
  <xdr:twoCellAnchor>
    <xdr:from>
      <xdr:col>9</xdr:col>
      <xdr:colOff>373945</xdr:colOff>
      <xdr:row>32</xdr:row>
      <xdr:rowOff>176390</xdr:rowOff>
    </xdr:from>
    <xdr:to>
      <xdr:col>10</xdr:col>
      <xdr:colOff>230389</xdr:colOff>
      <xdr:row>34</xdr:row>
      <xdr:rowOff>85825</xdr:rowOff>
    </xdr:to>
    <xdr:sp macro="" textlink="'Pivot Tables'!BE13">
      <xdr:nvSpPr>
        <xdr:cNvPr id="264" name="TextBox 98">
          <a:extLst>
            <a:ext uri="{FF2B5EF4-FFF2-40B4-BE49-F238E27FC236}">
              <a16:creationId xmlns:a16="http://schemas.microsoft.com/office/drawing/2014/main" id="{59DB60C2-301C-4A08-B3CE-ADA61EF7126E}"/>
            </a:ext>
          </a:extLst>
        </xdr:cNvPr>
        <xdr:cNvSpPr txBox="1"/>
      </xdr:nvSpPr>
      <xdr:spPr>
        <a:xfrm>
          <a:off x="6342945" y="6526390"/>
          <a:ext cx="519666" cy="3045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90034A7F-91E7-4917-870A-9D5CB0346D50}" type="TxLink">
            <a:rPr lang="en-US" sz="800" b="0" i="0" u="none" strike="noStrike">
              <a:solidFill>
                <a:schemeClr val="bg1"/>
              </a:solidFill>
              <a:latin typeface="Calibri"/>
              <a:ea typeface="Calibri"/>
              <a:cs typeface="Calibri"/>
            </a:rPr>
            <a:pPr algn="ctr"/>
            <a:t>0.1%</a:t>
          </a:fld>
          <a:endParaRPr lang="en-US" sz="100">
            <a:solidFill>
              <a:schemeClr val="bg1"/>
            </a:solidFill>
            <a:latin typeface="Avenir Next LT Pro Light" panose="020B0304020202020204" pitchFamily="34" charset="0"/>
          </a:endParaRPr>
        </a:p>
      </xdr:txBody>
    </xdr:sp>
    <xdr:clientData/>
  </xdr:twoCellAnchor>
  <xdr:twoCellAnchor>
    <xdr:from>
      <xdr:col>6</xdr:col>
      <xdr:colOff>141116</xdr:colOff>
      <xdr:row>18</xdr:row>
      <xdr:rowOff>162278</xdr:rowOff>
    </xdr:from>
    <xdr:to>
      <xdr:col>7</xdr:col>
      <xdr:colOff>282226</xdr:colOff>
      <xdr:row>19</xdr:row>
      <xdr:rowOff>141111</xdr:rowOff>
    </xdr:to>
    <xdr:sp macro="" textlink="'Pivot Tables'!BD5">
      <xdr:nvSpPr>
        <xdr:cNvPr id="267" name="TextBox 98">
          <a:extLst>
            <a:ext uri="{FF2B5EF4-FFF2-40B4-BE49-F238E27FC236}">
              <a16:creationId xmlns:a16="http://schemas.microsoft.com/office/drawing/2014/main" id="{7F3B5466-4D14-4A54-B17B-B0FA1ED57204}"/>
            </a:ext>
          </a:extLst>
        </xdr:cNvPr>
        <xdr:cNvSpPr txBox="1"/>
      </xdr:nvSpPr>
      <xdr:spPr>
        <a:xfrm>
          <a:off x="4106338" y="3746500"/>
          <a:ext cx="797277" cy="176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A5889022-526E-4DAF-83C9-CB8E802DD4E4}" type="TxLink">
            <a:rPr lang="en-US" sz="800" b="0" i="0" u="none" strike="noStrike">
              <a:solidFill>
                <a:schemeClr val="bg1"/>
              </a:solidFill>
              <a:latin typeface="Calibri"/>
              <a:ea typeface="Calibri"/>
              <a:cs typeface="Calibri"/>
            </a:rPr>
            <a:pPr algn="ctr"/>
            <a:t>$36,000</a:t>
          </a:fld>
          <a:endParaRPr lang="en-US" sz="200">
            <a:solidFill>
              <a:schemeClr val="bg1"/>
            </a:solidFill>
            <a:latin typeface="Avenir Next LT Pro Light" panose="020B0304020202020204" pitchFamily="34" charset="0"/>
          </a:endParaRPr>
        </a:p>
      </xdr:txBody>
    </xdr:sp>
    <xdr:clientData/>
  </xdr:twoCellAnchor>
  <xdr:twoCellAnchor>
    <xdr:from>
      <xdr:col>5</xdr:col>
      <xdr:colOff>15521</xdr:colOff>
      <xdr:row>21</xdr:row>
      <xdr:rowOff>43745</xdr:rowOff>
    </xdr:from>
    <xdr:to>
      <xdr:col>6</xdr:col>
      <xdr:colOff>239888</xdr:colOff>
      <xdr:row>22</xdr:row>
      <xdr:rowOff>63500</xdr:rowOff>
    </xdr:to>
    <xdr:sp macro="" textlink="'Pivot Tables'!BD7">
      <xdr:nvSpPr>
        <xdr:cNvPr id="268" name="TextBox 98">
          <a:extLst>
            <a:ext uri="{FF2B5EF4-FFF2-40B4-BE49-F238E27FC236}">
              <a16:creationId xmlns:a16="http://schemas.microsoft.com/office/drawing/2014/main" id="{22F56CF1-3F08-459D-81A8-8047AD0D50F0}"/>
            </a:ext>
          </a:extLst>
        </xdr:cNvPr>
        <xdr:cNvSpPr txBox="1"/>
      </xdr:nvSpPr>
      <xdr:spPr>
        <a:xfrm>
          <a:off x="3324577" y="4220634"/>
          <a:ext cx="880533" cy="2173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C7648F37-FBF1-4EB4-9BF0-398BB226ECA3}" type="TxLink">
            <a:rPr lang="en-US" sz="800" b="0" i="0" u="none" strike="noStrike">
              <a:solidFill>
                <a:schemeClr val="bg1"/>
              </a:solidFill>
              <a:latin typeface="Calibri"/>
              <a:ea typeface="Calibri"/>
              <a:cs typeface="Calibri"/>
            </a:rPr>
            <a:pPr algn="ctr"/>
            <a:t>$0</a:t>
          </a:fld>
          <a:endParaRPr lang="en-US" sz="100">
            <a:solidFill>
              <a:schemeClr val="bg1"/>
            </a:solidFill>
            <a:latin typeface="Avenir Next LT Pro Light" panose="020B0304020202020204" pitchFamily="34" charset="0"/>
          </a:endParaRPr>
        </a:p>
      </xdr:txBody>
    </xdr:sp>
    <xdr:clientData/>
  </xdr:twoCellAnchor>
  <xdr:twoCellAnchor>
    <xdr:from>
      <xdr:col>5</xdr:col>
      <xdr:colOff>90308</xdr:colOff>
      <xdr:row>28</xdr:row>
      <xdr:rowOff>55036</xdr:rowOff>
    </xdr:from>
    <xdr:to>
      <xdr:col>6</xdr:col>
      <xdr:colOff>268111</xdr:colOff>
      <xdr:row>29</xdr:row>
      <xdr:rowOff>49389</xdr:rowOff>
    </xdr:to>
    <xdr:sp macro="" textlink="'Pivot Tables'!BD6">
      <xdr:nvSpPr>
        <xdr:cNvPr id="269" name="TextBox 98">
          <a:extLst>
            <a:ext uri="{FF2B5EF4-FFF2-40B4-BE49-F238E27FC236}">
              <a16:creationId xmlns:a16="http://schemas.microsoft.com/office/drawing/2014/main" id="{E8B43A6F-7D8C-4A2D-B8D1-48FA90174E53}"/>
            </a:ext>
          </a:extLst>
        </xdr:cNvPr>
        <xdr:cNvSpPr txBox="1"/>
      </xdr:nvSpPr>
      <xdr:spPr>
        <a:xfrm>
          <a:off x="3399364" y="5614814"/>
          <a:ext cx="833969" cy="1919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021F3B80-4A8F-4347-BDEA-0C60F37B33F6}" type="TxLink">
            <a:rPr lang="en-US" sz="800" b="0" i="0" u="none" strike="noStrike">
              <a:solidFill>
                <a:schemeClr val="bg1"/>
              </a:solidFill>
              <a:latin typeface="Calibri"/>
              <a:ea typeface="Calibri"/>
              <a:cs typeface="Calibri"/>
            </a:rPr>
            <a:pPr algn="ctr"/>
            <a:t>$0</a:t>
          </a:fld>
          <a:endParaRPr lang="en-US" sz="100">
            <a:solidFill>
              <a:schemeClr val="bg1"/>
            </a:solidFill>
            <a:latin typeface="Avenir Next LT Pro Light" panose="020B0304020202020204" pitchFamily="34" charset="0"/>
          </a:endParaRPr>
        </a:p>
      </xdr:txBody>
    </xdr:sp>
    <xdr:clientData/>
  </xdr:twoCellAnchor>
  <xdr:twoCellAnchor>
    <xdr:from>
      <xdr:col>6</xdr:col>
      <xdr:colOff>94547</xdr:colOff>
      <xdr:row>30</xdr:row>
      <xdr:rowOff>143934</xdr:rowOff>
    </xdr:from>
    <xdr:to>
      <xdr:col>7</xdr:col>
      <xdr:colOff>317501</xdr:colOff>
      <xdr:row>31</xdr:row>
      <xdr:rowOff>127000</xdr:rowOff>
    </xdr:to>
    <xdr:sp macro="" textlink="'Pivot Tables'!BD8">
      <xdr:nvSpPr>
        <xdr:cNvPr id="270" name="TextBox 98">
          <a:extLst>
            <a:ext uri="{FF2B5EF4-FFF2-40B4-BE49-F238E27FC236}">
              <a16:creationId xmlns:a16="http://schemas.microsoft.com/office/drawing/2014/main" id="{A6BAFC1F-E1AE-42FD-8E8C-DA699D5A981D}"/>
            </a:ext>
          </a:extLst>
        </xdr:cNvPr>
        <xdr:cNvSpPr txBox="1"/>
      </xdr:nvSpPr>
      <xdr:spPr>
        <a:xfrm>
          <a:off x="4059769" y="6098823"/>
          <a:ext cx="879121" cy="180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6C308119-E293-47E8-AC10-4AF4972DADE8}" type="TxLink">
            <a:rPr lang="en-US" sz="800" b="0" i="0" u="none" strike="noStrike">
              <a:solidFill>
                <a:schemeClr val="bg1"/>
              </a:solidFill>
              <a:latin typeface="Calibri"/>
              <a:ea typeface="Calibri"/>
              <a:cs typeface="Calibri"/>
            </a:rPr>
            <a:pPr algn="ctr"/>
            <a:t>$13,605</a:t>
          </a:fld>
          <a:endParaRPr lang="en-US" sz="100">
            <a:solidFill>
              <a:schemeClr val="bg1"/>
            </a:solidFill>
            <a:latin typeface="Avenir Next LT Pro Light" panose="020B0304020202020204" pitchFamily="34" charset="0"/>
          </a:endParaRPr>
        </a:p>
      </xdr:txBody>
    </xdr:sp>
    <xdr:clientData/>
  </xdr:twoCellAnchor>
  <xdr:twoCellAnchor>
    <xdr:from>
      <xdr:col>8</xdr:col>
      <xdr:colOff>613833</xdr:colOff>
      <xdr:row>33</xdr:row>
      <xdr:rowOff>81844</xdr:rowOff>
    </xdr:from>
    <xdr:to>
      <xdr:col>9</xdr:col>
      <xdr:colOff>629734</xdr:colOff>
      <xdr:row>34</xdr:row>
      <xdr:rowOff>98778</xdr:rowOff>
    </xdr:to>
    <xdr:sp macro="" textlink="'Pivot Tables'!BD13">
      <xdr:nvSpPr>
        <xdr:cNvPr id="272" name="TextBox 98">
          <a:extLst>
            <a:ext uri="{FF2B5EF4-FFF2-40B4-BE49-F238E27FC236}">
              <a16:creationId xmlns:a16="http://schemas.microsoft.com/office/drawing/2014/main" id="{A739D75A-9BFA-4D16-87BB-33F3B75D84EB}"/>
            </a:ext>
          </a:extLst>
        </xdr:cNvPr>
        <xdr:cNvSpPr txBox="1"/>
      </xdr:nvSpPr>
      <xdr:spPr>
        <a:xfrm>
          <a:off x="5891389" y="6629400"/>
          <a:ext cx="672067" cy="214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588BA11B-83B3-425A-BEA4-5E1B9A0B1D9C}" type="TxLink">
            <a:rPr lang="en-US" sz="800" b="0" i="0" u="none" strike="noStrike">
              <a:solidFill>
                <a:schemeClr val="bg1"/>
              </a:solidFill>
              <a:latin typeface="Calibri"/>
              <a:ea typeface="Calibri"/>
              <a:cs typeface="Calibri"/>
            </a:rPr>
            <a:pPr algn="ctr"/>
            <a:t>$1,842</a:t>
          </a:fld>
          <a:endParaRPr lang="en-US" sz="100">
            <a:solidFill>
              <a:schemeClr val="bg1"/>
            </a:solidFill>
            <a:latin typeface="Avenir Next LT Pro Light" panose="020B0304020202020204" pitchFamily="34" charset="0"/>
          </a:endParaRPr>
        </a:p>
      </xdr:txBody>
    </xdr:sp>
    <xdr:clientData/>
  </xdr:twoCellAnchor>
  <xdr:twoCellAnchor>
    <xdr:from>
      <xdr:col>8</xdr:col>
      <xdr:colOff>472722</xdr:colOff>
      <xdr:row>38</xdr:row>
      <xdr:rowOff>7056</xdr:rowOff>
    </xdr:from>
    <xdr:to>
      <xdr:col>9</xdr:col>
      <xdr:colOff>561998</xdr:colOff>
      <xdr:row>39</xdr:row>
      <xdr:rowOff>7055</xdr:rowOff>
    </xdr:to>
    <xdr:sp macro="" textlink="'Pivot Tables'!BD12">
      <xdr:nvSpPr>
        <xdr:cNvPr id="273" name="TextBox 98">
          <a:extLst>
            <a:ext uri="{FF2B5EF4-FFF2-40B4-BE49-F238E27FC236}">
              <a16:creationId xmlns:a16="http://schemas.microsoft.com/office/drawing/2014/main" id="{87F7DF71-A5CB-4F89-AEC7-3670D0DB5036}"/>
            </a:ext>
          </a:extLst>
        </xdr:cNvPr>
        <xdr:cNvSpPr txBox="1"/>
      </xdr:nvSpPr>
      <xdr:spPr>
        <a:xfrm>
          <a:off x="5750278" y="7542389"/>
          <a:ext cx="745442" cy="197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D9B14EA9-1704-47DA-8A56-8E8A3F3657B0}" type="TxLink">
            <a:rPr lang="en-US" sz="800" b="0" i="0" u="none" strike="noStrike">
              <a:solidFill>
                <a:schemeClr val="bg1"/>
              </a:solidFill>
              <a:latin typeface="Calibri"/>
              <a:ea typeface="Calibri"/>
              <a:cs typeface="Calibri"/>
            </a:rPr>
            <a:pPr algn="ctr"/>
            <a:t>$8,192</a:t>
          </a:fld>
          <a:endParaRPr lang="en-US" sz="100">
            <a:solidFill>
              <a:schemeClr val="bg1"/>
            </a:solidFill>
            <a:latin typeface="Avenir Next LT Pro Light" panose="020B0304020202020204" pitchFamily="34" charset="0"/>
          </a:endParaRPr>
        </a:p>
      </xdr:txBody>
    </xdr:sp>
    <xdr:clientData/>
  </xdr:twoCellAnchor>
  <xdr:twoCellAnchor>
    <xdr:from>
      <xdr:col>14</xdr:col>
      <xdr:colOff>191527</xdr:colOff>
      <xdr:row>11</xdr:row>
      <xdr:rowOff>175806</xdr:rowOff>
    </xdr:from>
    <xdr:to>
      <xdr:col>15</xdr:col>
      <xdr:colOff>331610</xdr:colOff>
      <xdr:row>12</xdr:row>
      <xdr:rowOff>169334</xdr:rowOff>
    </xdr:to>
    <xdr:sp macro="" textlink="'Pivot Tables'!BD19">
      <xdr:nvSpPr>
        <xdr:cNvPr id="274" name="TextBox 98">
          <a:extLst>
            <a:ext uri="{FF2B5EF4-FFF2-40B4-BE49-F238E27FC236}">
              <a16:creationId xmlns:a16="http://schemas.microsoft.com/office/drawing/2014/main" id="{2AE0ADBE-1C59-44F6-88B4-810DFD58DA65}"/>
            </a:ext>
          </a:extLst>
        </xdr:cNvPr>
        <xdr:cNvSpPr txBox="1"/>
      </xdr:nvSpPr>
      <xdr:spPr>
        <a:xfrm>
          <a:off x="9406083" y="2377139"/>
          <a:ext cx="796249" cy="191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4A4D7257-6715-4406-9121-CF0891BA612A}" type="TxLink">
            <a:rPr lang="en-US" sz="800" b="0" i="0" u="none" strike="noStrike">
              <a:solidFill>
                <a:schemeClr val="bg1"/>
              </a:solidFill>
              <a:latin typeface="Calibri"/>
              <a:ea typeface="Calibri"/>
              <a:cs typeface="Calibri"/>
            </a:rPr>
            <a:pPr algn="ctr"/>
            <a:t>$3,500</a:t>
          </a:fld>
          <a:endParaRPr lang="en-US" sz="100">
            <a:solidFill>
              <a:schemeClr val="bg1"/>
            </a:solidFill>
            <a:latin typeface="Avenir Next LT Pro Light" panose="020B0304020202020204" pitchFamily="34" charset="0"/>
          </a:endParaRPr>
        </a:p>
      </xdr:txBody>
    </xdr:sp>
    <xdr:clientData/>
  </xdr:twoCellAnchor>
  <xdr:twoCellAnchor>
    <xdr:from>
      <xdr:col>15</xdr:col>
      <xdr:colOff>27167</xdr:colOff>
      <xdr:row>9</xdr:row>
      <xdr:rowOff>207825</xdr:rowOff>
    </xdr:from>
    <xdr:to>
      <xdr:col>16</xdr:col>
      <xdr:colOff>134055</xdr:colOff>
      <xdr:row>10</xdr:row>
      <xdr:rowOff>190500</xdr:rowOff>
    </xdr:to>
    <xdr:sp macro="" textlink="'Pivot Tables'!BD20">
      <xdr:nvSpPr>
        <xdr:cNvPr id="275" name="TextBox 98">
          <a:extLst>
            <a:ext uri="{FF2B5EF4-FFF2-40B4-BE49-F238E27FC236}">
              <a16:creationId xmlns:a16="http://schemas.microsoft.com/office/drawing/2014/main" id="{D980E6C3-9937-4575-8D5A-5E1B20F4B499}"/>
            </a:ext>
          </a:extLst>
        </xdr:cNvPr>
        <xdr:cNvSpPr txBox="1"/>
      </xdr:nvSpPr>
      <xdr:spPr>
        <a:xfrm>
          <a:off x="9897889" y="1985825"/>
          <a:ext cx="763055" cy="208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FF9B0B5E-EB82-460E-AB26-AD0514714EA5}" type="TxLink">
            <a:rPr lang="en-US" sz="800" b="0" i="0" u="none" strike="noStrike">
              <a:solidFill>
                <a:schemeClr val="bg1"/>
              </a:solidFill>
              <a:latin typeface="Calibri"/>
              <a:ea typeface="Calibri"/>
              <a:cs typeface="Calibri"/>
            </a:rPr>
            <a:pPr algn="ctr"/>
            <a:t>$600</a:t>
          </a:fld>
          <a:endParaRPr lang="en-US" sz="100">
            <a:solidFill>
              <a:schemeClr val="bg1"/>
            </a:solidFill>
            <a:latin typeface="Avenir Next LT Pro Light" panose="020B0304020202020204" pitchFamily="34" charset="0"/>
          </a:endParaRPr>
        </a:p>
      </xdr:txBody>
    </xdr:sp>
    <xdr:clientData/>
  </xdr:twoCellAnchor>
  <xdr:twoCellAnchor>
    <xdr:from>
      <xdr:col>14</xdr:col>
      <xdr:colOff>647302</xdr:colOff>
      <xdr:row>7</xdr:row>
      <xdr:rowOff>113048</xdr:rowOff>
    </xdr:from>
    <xdr:to>
      <xdr:col>16</xdr:col>
      <xdr:colOff>197555</xdr:colOff>
      <xdr:row>8</xdr:row>
      <xdr:rowOff>134056</xdr:rowOff>
    </xdr:to>
    <xdr:sp macro="" textlink="'Pivot Tables'!BD27">
      <xdr:nvSpPr>
        <xdr:cNvPr id="276" name="TextBox 98">
          <a:extLst>
            <a:ext uri="{FF2B5EF4-FFF2-40B4-BE49-F238E27FC236}">
              <a16:creationId xmlns:a16="http://schemas.microsoft.com/office/drawing/2014/main" id="{F992CFF2-E38E-45DA-8883-055414CCC53D}"/>
            </a:ext>
          </a:extLst>
        </xdr:cNvPr>
        <xdr:cNvSpPr txBox="1"/>
      </xdr:nvSpPr>
      <xdr:spPr>
        <a:xfrm>
          <a:off x="9861858" y="1495937"/>
          <a:ext cx="862586" cy="2185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54028C48-27B0-42F5-B72B-07D593FC1BC6}" type="TxLink">
            <a:rPr lang="en-US" sz="800" b="0" i="0" u="none" strike="noStrike">
              <a:solidFill>
                <a:schemeClr val="bg1"/>
              </a:solidFill>
              <a:latin typeface="Calibri"/>
              <a:ea typeface="Calibri"/>
              <a:cs typeface="Calibri"/>
            </a:rPr>
            <a:pPr algn="ctr"/>
            <a:t>$10,830</a:t>
          </a:fld>
          <a:endParaRPr lang="en-US" sz="100">
            <a:solidFill>
              <a:schemeClr val="bg1"/>
            </a:solidFill>
            <a:latin typeface="Avenir Next LT Pro Light" panose="020B0304020202020204" pitchFamily="34" charset="0"/>
          </a:endParaRPr>
        </a:p>
      </xdr:txBody>
    </xdr:sp>
    <xdr:clientData/>
  </xdr:twoCellAnchor>
  <xdr:twoCellAnchor>
    <xdr:from>
      <xdr:col>14</xdr:col>
      <xdr:colOff>527049</xdr:colOff>
      <xdr:row>5</xdr:row>
      <xdr:rowOff>53623</xdr:rowOff>
    </xdr:from>
    <xdr:to>
      <xdr:col>15</xdr:col>
      <xdr:colOff>620889</xdr:colOff>
      <xdr:row>6</xdr:row>
      <xdr:rowOff>84667</xdr:rowOff>
    </xdr:to>
    <xdr:sp macro="" textlink="'Pivot Tables'!BD26">
      <xdr:nvSpPr>
        <xdr:cNvPr id="277" name="TextBox 98">
          <a:extLst>
            <a:ext uri="{FF2B5EF4-FFF2-40B4-BE49-F238E27FC236}">
              <a16:creationId xmlns:a16="http://schemas.microsoft.com/office/drawing/2014/main" id="{4BBEA078-A447-406D-88A5-45A2F12B8AC0}"/>
            </a:ext>
          </a:extLst>
        </xdr:cNvPr>
        <xdr:cNvSpPr txBox="1"/>
      </xdr:nvSpPr>
      <xdr:spPr>
        <a:xfrm>
          <a:off x="9741605" y="1041401"/>
          <a:ext cx="750006" cy="228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C3DEF6DD-69EA-4307-8C74-D18AD4190C5F}" type="TxLink">
            <a:rPr lang="en-US" sz="800" b="0" i="0" u="none" strike="noStrike">
              <a:solidFill>
                <a:schemeClr val="bg1"/>
              </a:solidFill>
              <a:latin typeface="Calibri"/>
              <a:ea typeface="Calibri"/>
              <a:cs typeface="Calibri"/>
            </a:rPr>
            <a:pPr algn="ctr"/>
            <a:t>$2,500</a:t>
          </a:fld>
          <a:endParaRPr lang="en-US" sz="100">
            <a:solidFill>
              <a:schemeClr val="bg1"/>
            </a:solidFill>
            <a:latin typeface="Avenir Next LT Pro Light" panose="020B0304020202020204" pitchFamily="34" charset="0"/>
          </a:endParaRPr>
        </a:p>
      </xdr:txBody>
    </xdr:sp>
    <xdr:clientData/>
  </xdr:twoCellAnchor>
  <xdr:twoCellAnchor>
    <xdr:from>
      <xdr:col>14</xdr:col>
      <xdr:colOff>416276</xdr:colOff>
      <xdr:row>3</xdr:row>
      <xdr:rowOff>38099</xdr:rowOff>
    </xdr:from>
    <xdr:to>
      <xdr:col>16</xdr:col>
      <xdr:colOff>28222</xdr:colOff>
      <xdr:row>4</xdr:row>
      <xdr:rowOff>77611</xdr:rowOff>
    </xdr:to>
    <xdr:sp macro="" textlink="'Pivot Tables'!BD24">
      <xdr:nvSpPr>
        <xdr:cNvPr id="278" name="TextBox 98">
          <a:extLst>
            <a:ext uri="{FF2B5EF4-FFF2-40B4-BE49-F238E27FC236}">
              <a16:creationId xmlns:a16="http://schemas.microsoft.com/office/drawing/2014/main" id="{5828DAEC-BFEC-4226-BD62-09F59F7CB508}"/>
            </a:ext>
          </a:extLst>
        </xdr:cNvPr>
        <xdr:cNvSpPr txBox="1"/>
      </xdr:nvSpPr>
      <xdr:spPr>
        <a:xfrm>
          <a:off x="9630832" y="630766"/>
          <a:ext cx="924279" cy="237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CDD6FAD4-FCFB-460C-AE64-D9094D87859F}" type="TxLink">
            <a:rPr lang="en-US" sz="800" b="0" i="0" u="none" strike="noStrike">
              <a:solidFill>
                <a:schemeClr val="bg1"/>
              </a:solidFill>
              <a:latin typeface="Calibri"/>
              <a:ea typeface="Calibri"/>
              <a:cs typeface="Calibri"/>
            </a:rPr>
            <a:pPr algn="ctr"/>
            <a:t>$43,432</a:t>
          </a:fld>
          <a:endParaRPr lang="en-US" sz="100">
            <a:solidFill>
              <a:schemeClr val="bg1"/>
            </a:solidFill>
            <a:latin typeface="Avenir Next LT Pro Light" panose="020B0304020202020204" pitchFamily="34" charset="0"/>
          </a:endParaRPr>
        </a:p>
      </xdr:txBody>
    </xdr:sp>
    <xdr:clientData/>
  </xdr:twoCellAnchor>
  <xdr:twoCellAnchor>
    <xdr:from>
      <xdr:col>12</xdr:col>
      <xdr:colOff>232833</xdr:colOff>
      <xdr:row>3</xdr:row>
      <xdr:rowOff>40925</xdr:rowOff>
    </xdr:from>
    <xdr:to>
      <xdr:col>13</xdr:col>
      <xdr:colOff>331610</xdr:colOff>
      <xdr:row>4</xdr:row>
      <xdr:rowOff>35277</xdr:rowOff>
    </xdr:to>
    <xdr:sp macro="" textlink="'Pivot Tables'!BD22">
      <xdr:nvSpPr>
        <xdr:cNvPr id="279" name="TextBox 98">
          <a:extLst>
            <a:ext uri="{FF2B5EF4-FFF2-40B4-BE49-F238E27FC236}">
              <a16:creationId xmlns:a16="http://schemas.microsoft.com/office/drawing/2014/main" id="{C9C76C84-043D-4ED5-9A8E-120BDCE8B3AF}"/>
            </a:ext>
          </a:extLst>
        </xdr:cNvPr>
        <xdr:cNvSpPr txBox="1"/>
      </xdr:nvSpPr>
      <xdr:spPr>
        <a:xfrm>
          <a:off x="8135055" y="633592"/>
          <a:ext cx="754944" cy="191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EF82F76E-A55C-464A-B249-6FA9DDEE5D7E}" type="TxLink">
            <a:rPr lang="en-US" sz="800" b="0" i="0" u="none" strike="noStrike">
              <a:solidFill>
                <a:schemeClr val="bg1"/>
              </a:solidFill>
              <a:latin typeface="Calibri"/>
              <a:ea typeface="Calibri"/>
              <a:cs typeface="Calibri"/>
            </a:rPr>
            <a:pPr algn="ctr"/>
            <a:t>$559</a:t>
          </a:fld>
          <a:endParaRPr lang="en-US" sz="100">
            <a:solidFill>
              <a:schemeClr val="bg1"/>
            </a:solidFill>
            <a:latin typeface="Avenir Next LT Pro Light" panose="020B0304020202020204" pitchFamily="34" charset="0"/>
          </a:endParaRPr>
        </a:p>
      </xdr:txBody>
    </xdr:sp>
    <xdr:clientData/>
  </xdr:twoCellAnchor>
  <xdr:twoCellAnchor>
    <xdr:from>
      <xdr:col>11</xdr:col>
      <xdr:colOff>444500</xdr:colOff>
      <xdr:row>4</xdr:row>
      <xdr:rowOff>170744</xdr:rowOff>
    </xdr:from>
    <xdr:to>
      <xdr:col>12</xdr:col>
      <xdr:colOff>451556</xdr:colOff>
      <xdr:row>5</xdr:row>
      <xdr:rowOff>148166</xdr:rowOff>
    </xdr:to>
    <xdr:sp macro="" textlink="'Pivot Tables'!BD21">
      <xdr:nvSpPr>
        <xdr:cNvPr id="280" name="TextBox 98">
          <a:extLst>
            <a:ext uri="{FF2B5EF4-FFF2-40B4-BE49-F238E27FC236}">
              <a16:creationId xmlns:a16="http://schemas.microsoft.com/office/drawing/2014/main" id="{EA9A40A2-134F-4324-AE90-E5F431CD15C5}"/>
            </a:ext>
          </a:extLst>
        </xdr:cNvPr>
        <xdr:cNvSpPr txBox="1"/>
      </xdr:nvSpPr>
      <xdr:spPr>
        <a:xfrm>
          <a:off x="7690556" y="960966"/>
          <a:ext cx="663222" cy="174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76F54DF4-9359-46F7-920E-9678868D79D7}" type="TxLink">
            <a:rPr lang="en-US" sz="800" b="0" i="0" u="none" strike="noStrike">
              <a:solidFill>
                <a:schemeClr val="bg1"/>
              </a:solidFill>
              <a:latin typeface="Calibri"/>
              <a:ea typeface="Calibri"/>
              <a:cs typeface="Calibri"/>
            </a:rPr>
            <a:pPr algn="ctr"/>
            <a:t>$18,848</a:t>
          </a:fld>
          <a:endParaRPr lang="en-US" sz="100">
            <a:solidFill>
              <a:schemeClr val="bg1"/>
            </a:solidFill>
            <a:latin typeface="Avenir Next LT Pro Light" panose="020B0304020202020204" pitchFamily="34" charset="0"/>
          </a:endParaRPr>
        </a:p>
      </xdr:txBody>
    </xdr:sp>
    <xdr:clientData/>
  </xdr:twoCellAnchor>
  <xdr:twoCellAnchor>
    <xdr:from>
      <xdr:col>13</xdr:col>
      <xdr:colOff>255001</xdr:colOff>
      <xdr:row>9</xdr:row>
      <xdr:rowOff>2459</xdr:rowOff>
    </xdr:from>
    <xdr:to>
      <xdr:col>14</xdr:col>
      <xdr:colOff>50389</xdr:colOff>
      <xdr:row>12</xdr:row>
      <xdr:rowOff>82891</xdr:rowOff>
    </xdr:to>
    <xdr:grpSp>
      <xdr:nvGrpSpPr>
        <xdr:cNvPr id="281" name="Group 280">
          <a:extLst>
            <a:ext uri="{FF2B5EF4-FFF2-40B4-BE49-F238E27FC236}">
              <a16:creationId xmlns:a16="http://schemas.microsoft.com/office/drawing/2014/main" id="{8D9F3919-7CF8-4E3E-9F34-423076405300}"/>
            </a:ext>
          </a:extLst>
        </xdr:cNvPr>
        <xdr:cNvGrpSpPr/>
      </xdr:nvGrpSpPr>
      <xdr:grpSpPr>
        <a:xfrm rot="9367125">
          <a:off x="8925926" y="1802684"/>
          <a:ext cx="446263" cy="712257"/>
          <a:chOff x="6385278" y="8128000"/>
          <a:chExt cx="564443" cy="812866"/>
        </a:xfrm>
        <a:solidFill>
          <a:schemeClr val="tx2">
            <a:lumMod val="50000"/>
          </a:schemeClr>
        </a:solidFill>
      </xdr:grpSpPr>
      <xdr:sp macro="" textlink="">
        <xdr:nvSpPr>
          <xdr:cNvPr id="282" name="Flowchart: Connector 281">
            <a:extLst>
              <a:ext uri="{FF2B5EF4-FFF2-40B4-BE49-F238E27FC236}">
                <a16:creationId xmlns:a16="http://schemas.microsoft.com/office/drawing/2014/main" id="{83B6F5F0-405C-A490-E7CB-1182DA5D65BE}"/>
              </a:ext>
            </a:extLst>
          </xdr:cNvPr>
          <xdr:cNvSpPr/>
        </xdr:nvSpPr>
        <xdr:spPr>
          <a:xfrm>
            <a:off x="6632222" y="8128000"/>
            <a:ext cx="317499" cy="295713"/>
          </a:xfrm>
          <a:prstGeom prst="flowChartConnector">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83" name="Straight Connector 282">
            <a:extLst>
              <a:ext uri="{FF2B5EF4-FFF2-40B4-BE49-F238E27FC236}">
                <a16:creationId xmlns:a16="http://schemas.microsoft.com/office/drawing/2014/main" id="{8FCF1F63-D671-4B4E-9610-3DB02E8AA967}"/>
              </a:ext>
            </a:extLst>
          </xdr:cNvPr>
          <xdr:cNvCxnSpPr/>
        </xdr:nvCxnSpPr>
        <xdr:spPr>
          <a:xfrm flipH="1">
            <a:off x="6385278" y="8410221"/>
            <a:ext cx="323074" cy="530645"/>
          </a:xfrm>
          <a:prstGeom prst="line">
            <a:avLst/>
          </a:prstGeom>
          <a:grpFill/>
          <a:ln w="9525">
            <a:solidFill>
              <a:schemeClr val="tx1">
                <a:lumMod val="65000"/>
                <a:lumOff val="35000"/>
                <a:alpha val="30000"/>
              </a:schemeClr>
            </a:solidFill>
            <a:tailEnd w="med" len="lg"/>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228816</xdr:colOff>
      <xdr:row>11</xdr:row>
      <xdr:rowOff>61377</xdr:rowOff>
    </xdr:from>
    <xdr:to>
      <xdr:col>14</xdr:col>
      <xdr:colOff>85260</xdr:colOff>
      <xdr:row>12</xdr:row>
      <xdr:rowOff>140145</xdr:rowOff>
    </xdr:to>
    <xdr:sp macro="" textlink="'Pivot Tables'!BE25">
      <xdr:nvSpPr>
        <xdr:cNvPr id="284" name="TextBox 98">
          <a:extLst>
            <a:ext uri="{FF2B5EF4-FFF2-40B4-BE49-F238E27FC236}">
              <a16:creationId xmlns:a16="http://schemas.microsoft.com/office/drawing/2014/main" id="{C4A04C3B-6BF4-4751-8B9C-64F8207B17F3}"/>
            </a:ext>
          </a:extLst>
        </xdr:cNvPr>
        <xdr:cNvSpPr txBox="1"/>
      </xdr:nvSpPr>
      <xdr:spPr>
        <a:xfrm>
          <a:off x="8824228" y="2254418"/>
          <a:ext cx="517630" cy="275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5378E944-D574-4074-A81E-376AB51D4274}" type="TxLink">
            <a:rPr lang="en-US" sz="800" b="0" i="0" u="none" strike="noStrike">
              <a:solidFill>
                <a:schemeClr val="bg1"/>
              </a:solidFill>
              <a:latin typeface="Calibri"/>
              <a:ea typeface="Calibri"/>
              <a:cs typeface="Calibri"/>
            </a:rPr>
            <a:pPr algn="ctr"/>
            <a:t>1.3%</a:t>
          </a:fld>
          <a:endParaRPr lang="en-US" sz="100">
            <a:solidFill>
              <a:schemeClr val="bg1"/>
            </a:solidFill>
            <a:latin typeface="Avenir Next LT Pro Light" panose="020B0304020202020204" pitchFamily="34" charset="0"/>
          </a:endParaRPr>
        </a:p>
      </xdr:txBody>
    </xdr:sp>
    <xdr:clientData/>
  </xdr:twoCellAnchor>
  <xdr:twoCellAnchor>
    <xdr:from>
      <xdr:col>13</xdr:col>
      <xdr:colOff>290379</xdr:colOff>
      <xdr:row>12</xdr:row>
      <xdr:rowOff>62620</xdr:rowOff>
    </xdr:from>
    <xdr:to>
      <xdr:col>14</xdr:col>
      <xdr:colOff>26182</xdr:colOff>
      <xdr:row>13</xdr:row>
      <xdr:rowOff>26185</xdr:rowOff>
    </xdr:to>
    <xdr:sp macro="" textlink="">
      <xdr:nvSpPr>
        <xdr:cNvPr id="285" name="TextBox 284">
          <a:extLst>
            <a:ext uri="{FF2B5EF4-FFF2-40B4-BE49-F238E27FC236}">
              <a16:creationId xmlns:a16="http://schemas.microsoft.com/office/drawing/2014/main" id="{65C747AE-C9FE-4A96-952E-0CBB6F5CF8B1}"/>
            </a:ext>
          </a:extLst>
        </xdr:cNvPr>
        <xdr:cNvSpPr txBox="1"/>
      </xdr:nvSpPr>
      <xdr:spPr>
        <a:xfrm>
          <a:off x="8885791" y="2452053"/>
          <a:ext cx="396989" cy="1599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600">
              <a:solidFill>
                <a:schemeClr val="bg1"/>
              </a:solidFill>
              <a:latin typeface="Avenir Next LT Pro Light" panose="020B0304020202020204" pitchFamily="34" charset="0"/>
            </a:rPr>
            <a:t>Straw</a:t>
          </a:r>
        </a:p>
      </xdr:txBody>
    </xdr:sp>
    <xdr:clientData/>
  </xdr:twoCellAnchor>
  <xdr:twoCellAnchor>
    <xdr:from>
      <xdr:col>13</xdr:col>
      <xdr:colOff>40149</xdr:colOff>
      <xdr:row>12</xdr:row>
      <xdr:rowOff>135221</xdr:rowOff>
    </xdr:from>
    <xdr:to>
      <xdr:col>14</xdr:col>
      <xdr:colOff>254001</xdr:colOff>
      <xdr:row>13</xdr:row>
      <xdr:rowOff>162278</xdr:rowOff>
    </xdr:to>
    <xdr:sp macro="" textlink="'Pivot Tables'!BD25">
      <xdr:nvSpPr>
        <xdr:cNvPr id="286" name="TextBox 98">
          <a:extLst>
            <a:ext uri="{FF2B5EF4-FFF2-40B4-BE49-F238E27FC236}">
              <a16:creationId xmlns:a16="http://schemas.microsoft.com/office/drawing/2014/main" id="{F29928F0-FC69-4258-A590-A184493265EC}"/>
            </a:ext>
          </a:extLst>
        </xdr:cNvPr>
        <xdr:cNvSpPr txBox="1"/>
      </xdr:nvSpPr>
      <xdr:spPr>
        <a:xfrm>
          <a:off x="8598538" y="2534110"/>
          <a:ext cx="870019" cy="2246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EE7BA69C-73A5-4741-86E3-959612EFF313}" type="TxLink">
            <a:rPr lang="en-US" sz="800" b="0" i="0" u="none" strike="noStrike">
              <a:solidFill>
                <a:schemeClr val="bg1"/>
              </a:solidFill>
              <a:latin typeface="Calibri"/>
              <a:ea typeface="Calibri"/>
              <a:cs typeface="Calibri"/>
            </a:rPr>
            <a:pPr algn="ctr"/>
            <a:t>$27,500</a:t>
          </a:fld>
          <a:endParaRPr lang="en-US" sz="100">
            <a:solidFill>
              <a:schemeClr val="bg1"/>
            </a:solidFill>
            <a:latin typeface="Avenir Next LT Pro Light" panose="020B0304020202020204" pitchFamily="34" charset="0"/>
          </a:endParaRPr>
        </a:p>
      </xdr:txBody>
    </xdr:sp>
    <xdr:clientData/>
  </xdr:twoCellAnchor>
  <xdr:twoCellAnchor editAs="oneCell">
    <xdr:from>
      <xdr:col>12</xdr:col>
      <xdr:colOff>0</xdr:colOff>
      <xdr:row>22</xdr:row>
      <xdr:rowOff>190500</xdr:rowOff>
    </xdr:from>
    <xdr:to>
      <xdr:col>12</xdr:col>
      <xdr:colOff>278694</xdr:colOff>
      <xdr:row>24</xdr:row>
      <xdr:rowOff>67732</xdr:rowOff>
    </xdr:to>
    <xdr:pic>
      <xdr:nvPicPr>
        <xdr:cNvPr id="289" name="Graphic 1" descr="Money with solid fill">
          <a:extLst>
            <a:ext uri="{FF2B5EF4-FFF2-40B4-BE49-F238E27FC236}">
              <a16:creationId xmlns:a16="http://schemas.microsoft.com/office/drawing/2014/main" id="{7CCAD754-29D4-357A-F14C-9B326A31742A}"/>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7958667" y="4564944"/>
          <a:ext cx="272344" cy="272344"/>
        </a:xfrm>
        <a:prstGeom prst="rect">
          <a:avLst/>
        </a:prstGeom>
      </xdr:spPr>
    </xdr:pic>
    <xdr:clientData/>
  </xdr:twoCellAnchor>
  <xdr:twoCellAnchor>
    <xdr:from>
      <xdr:col>0</xdr:col>
      <xdr:colOff>635004</xdr:colOff>
      <xdr:row>20</xdr:row>
      <xdr:rowOff>14109</xdr:rowOff>
    </xdr:from>
    <xdr:to>
      <xdr:col>3</xdr:col>
      <xdr:colOff>592666</xdr:colOff>
      <xdr:row>24</xdr:row>
      <xdr:rowOff>98775</xdr:rowOff>
    </xdr:to>
    <xdr:grpSp>
      <xdr:nvGrpSpPr>
        <xdr:cNvPr id="21" name="Group 20">
          <a:extLst>
            <a:ext uri="{FF2B5EF4-FFF2-40B4-BE49-F238E27FC236}">
              <a16:creationId xmlns:a16="http://schemas.microsoft.com/office/drawing/2014/main" id="{4BE4A05E-70A6-CCEA-4A36-E5931505CB5E}"/>
            </a:ext>
          </a:extLst>
        </xdr:cNvPr>
        <xdr:cNvGrpSpPr/>
      </xdr:nvGrpSpPr>
      <xdr:grpSpPr>
        <a:xfrm>
          <a:off x="638179" y="4040009"/>
          <a:ext cx="2049987" cy="891116"/>
          <a:chOff x="578557" y="4007554"/>
          <a:chExt cx="1968495" cy="874889"/>
        </a:xfrm>
      </xdr:grpSpPr>
      <xdr:sp macro="" textlink="">
        <xdr:nvSpPr>
          <xdr:cNvPr id="303" name="Rectangle: Rounded Corners 302">
            <a:extLst>
              <a:ext uri="{FF2B5EF4-FFF2-40B4-BE49-F238E27FC236}">
                <a16:creationId xmlns:a16="http://schemas.microsoft.com/office/drawing/2014/main" id="{4FE7F6D8-28E6-55DA-E5B1-16DCC00C56C2}"/>
              </a:ext>
            </a:extLst>
          </xdr:cNvPr>
          <xdr:cNvSpPr/>
        </xdr:nvSpPr>
        <xdr:spPr>
          <a:xfrm>
            <a:off x="578557" y="4007554"/>
            <a:ext cx="1721553" cy="874889"/>
          </a:xfrm>
          <a:prstGeom prst="roundRect">
            <a:avLst>
              <a:gd name="adj" fmla="val 18645"/>
            </a:avLst>
          </a:prstGeom>
          <a:solidFill>
            <a:srgbClr val="070E25"/>
          </a:solidFill>
          <a:ln>
            <a:solidFill>
              <a:schemeClr val="bg2">
                <a:lumMod val="1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0" name="TextBox 299">
            <a:extLst>
              <a:ext uri="{FF2B5EF4-FFF2-40B4-BE49-F238E27FC236}">
                <a16:creationId xmlns:a16="http://schemas.microsoft.com/office/drawing/2014/main" id="{4A732945-4EDA-41A4-8A0C-A31CB7ED7D89}"/>
              </a:ext>
            </a:extLst>
          </xdr:cNvPr>
          <xdr:cNvSpPr txBox="1"/>
        </xdr:nvSpPr>
        <xdr:spPr>
          <a:xfrm>
            <a:off x="593765" y="4374457"/>
            <a:ext cx="1480567" cy="303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solidFill>
                <a:latin typeface="Avenir Next LT Pro Light" panose="020B0304020202020204" pitchFamily="34" charset="0"/>
              </a:rPr>
              <a:t>Production Cost</a:t>
            </a:r>
            <a:r>
              <a:rPr lang="en-US" sz="1000" baseline="0">
                <a:solidFill>
                  <a:schemeClr val="bg1"/>
                </a:solidFill>
                <a:latin typeface="Avenir Next LT Pro Light" panose="020B0304020202020204" pitchFamily="34" charset="0"/>
              </a:rPr>
              <a:t>:</a:t>
            </a:r>
            <a:endParaRPr lang="en-US" sz="1000">
              <a:solidFill>
                <a:schemeClr val="bg1"/>
              </a:solidFill>
              <a:latin typeface="Avenir Next LT Pro Light" panose="020B0304020202020204" pitchFamily="34" charset="0"/>
            </a:endParaRPr>
          </a:p>
        </xdr:txBody>
      </xdr:sp>
      <xdr:sp macro="" textlink="">
        <xdr:nvSpPr>
          <xdr:cNvPr id="301" name="TextBox 300">
            <a:extLst>
              <a:ext uri="{FF2B5EF4-FFF2-40B4-BE49-F238E27FC236}">
                <a16:creationId xmlns:a16="http://schemas.microsoft.com/office/drawing/2014/main" id="{24E9EB48-2AEE-4C8A-AE3D-A199EA712235}"/>
              </a:ext>
            </a:extLst>
          </xdr:cNvPr>
          <xdr:cNvSpPr txBox="1"/>
        </xdr:nvSpPr>
        <xdr:spPr>
          <a:xfrm>
            <a:off x="590945" y="4562130"/>
            <a:ext cx="1363444" cy="285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solidFill>
                <a:latin typeface="Avenir Next LT Pro Light" panose="020B0304020202020204" pitchFamily="34" charset="0"/>
              </a:rPr>
              <a:t>Gross Profit</a:t>
            </a:r>
            <a:r>
              <a:rPr lang="en-US" sz="1000" baseline="0">
                <a:solidFill>
                  <a:schemeClr val="bg1"/>
                </a:solidFill>
                <a:latin typeface="Avenir Next LT Pro Light" panose="020B0304020202020204" pitchFamily="34" charset="0"/>
              </a:rPr>
              <a:t>:</a:t>
            </a:r>
            <a:endParaRPr lang="en-US" sz="1000">
              <a:solidFill>
                <a:schemeClr val="bg1"/>
              </a:solidFill>
              <a:latin typeface="Avenir Next LT Pro Light" panose="020B0304020202020204" pitchFamily="34" charset="0"/>
            </a:endParaRPr>
          </a:p>
        </xdr:txBody>
      </xdr:sp>
      <xdr:sp macro="" textlink="'Pivot Tables'!BK4">
        <xdr:nvSpPr>
          <xdr:cNvPr id="305" name="TextBox 304">
            <a:extLst>
              <a:ext uri="{FF2B5EF4-FFF2-40B4-BE49-F238E27FC236}">
                <a16:creationId xmlns:a16="http://schemas.microsoft.com/office/drawing/2014/main" id="{D0BB2EF0-113F-0661-88F1-DBC07788FB14}"/>
              </a:ext>
            </a:extLst>
          </xdr:cNvPr>
          <xdr:cNvSpPr txBox="1"/>
        </xdr:nvSpPr>
        <xdr:spPr>
          <a:xfrm>
            <a:off x="1663867" y="4572004"/>
            <a:ext cx="883185" cy="275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FBEEC0B-A57E-41DB-B86D-8B3A965A77C8}" type="TxLink">
              <a:rPr lang="en-US" sz="1100" b="1" i="0" u="none" strike="noStrike">
                <a:solidFill>
                  <a:schemeClr val="bg1"/>
                </a:solidFill>
                <a:latin typeface="Avenir Next LT Pro" panose="020B0504020202020204" pitchFamily="34" charset="0"/>
                <a:ea typeface="Calibri"/>
                <a:cs typeface="Calibri"/>
              </a:rPr>
              <a:pPr/>
              <a:t>$182</a:t>
            </a:fld>
            <a:endParaRPr lang="en-US" sz="1050" b="1">
              <a:solidFill>
                <a:schemeClr val="bg1"/>
              </a:solidFill>
              <a:latin typeface="Avenir Next LT Pro" panose="020B0504020202020204" pitchFamily="34" charset="0"/>
              <a:cs typeface="Arial" panose="020B0604020202020204" pitchFamily="34" charset="0"/>
            </a:endParaRPr>
          </a:p>
        </xdr:txBody>
      </xdr:sp>
      <xdr:sp macro="" textlink="">
        <xdr:nvSpPr>
          <xdr:cNvPr id="307" name="TextBox 306">
            <a:extLst>
              <a:ext uri="{FF2B5EF4-FFF2-40B4-BE49-F238E27FC236}">
                <a16:creationId xmlns:a16="http://schemas.microsoft.com/office/drawing/2014/main" id="{E5F2493F-DD2D-42A3-8867-D63FB87DEA85}"/>
              </a:ext>
            </a:extLst>
          </xdr:cNvPr>
          <xdr:cNvSpPr txBox="1"/>
        </xdr:nvSpPr>
        <xdr:spPr>
          <a:xfrm>
            <a:off x="964889" y="4018848"/>
            <a:ext cx="926001" cy="235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u="sng">
                <a:solidFill>
                  <a:schemeClr val="bg1"/>
                </a:solidFill>
                <a:latin typeface="Avenir Next LT Pro Light" panose="020B0304020202020204" pitchFamily="34" charset="0"/>
              </a:rPr>
              <a:t>Per Head</a:t>
            </a:r>
          </a:p>
        </xdr:txBody>
      </xdr:sp>
      <xdr:sp macro="" textlink="'Pivot Tables'!BJ4">
        <xdr:nvSpPr>
          <xdr:cNvPr id="308" name="TextBox 307">
            <a:extLst>
              <a:ext uri="{FF2B5EF4-FFF2-40B4-BE49-F238E27FC236}">
                <a16:creationId xmlns:a16="http://schemas.microsoft.com/office/drawing/2014/main" id="{BCB4F296-0B6D-4FF0-8921-0C91F60DF9F1}"/>
              </a:ext>
            </a:extLst>
          </xdr:cNvPr>
          <xdr:cNvSpPr txBox="1"/>
        </xdr:nvSpPr>
        <xdr:spPr>
          <a:xfrm>
            <a:off x="1646933" y="4364572"/>
            <a:ext cx="883185" cy="275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AECF7CD-39D9-424B-A72E-40CC30FB39AF}" type="TxLink">
              <a:rPr lang="en-US" sz="1100" b="1" i="0" u="none" strike="noStrike">
                <a:solidFill>
                  <a:schemeClr val="bg1"/>
                </a:solidFill>
                <a:latin typeface="Avenir Next LT Pro" panose="020B0504020202020204" pitchFamily="34" charset="0"/>
                <a:ea typeface="Calibri"/>
                <a:cs typeface="Calibri"/>
              </a:rPr>
              <a:pPr/>
              <a:t>$2,125</a:t>
            </a:fld>
            <a:endParaRPr lang="en-US" sz="1050" b="1">
              <a:solidFill>
                <a:schemeClr val="bg1"/>
              </a:solidFill>
              <a:latin typeface="Avenir Next LT Pro" panose="020B0504020202020204" pitchFamily="34" charset="0"/>
            </a:endParaRPr>
          </a:p>
        </xdr:txBody>
      </xdr:sp>
    </xdr:grpSp>
    <xdr:clientData/>
  </xdr:twoCellAnchor>
  <xdr:oneCellAnchor>
    <xdr:from>
      <xdr:col>12</xdr:col>
      <xdr:colOff>454602</xdr:colOff>
      <xdr:row>0</xdr:row>
      <xdr:rowOff>86591</xdr:rowOff>
    </xdr:from>
    <xdr:ext cx="1582293" cy="280205"/>
    <xdr:sp macro="[0]!Refresh_Pivot_Adeolu" textlink="">
      <xdr:nvSpPr>
        <xdr:cNvPr id="20" name="TextBox 19">
          <a:extLst>
            <a:ext uri="{FF2B5EF4-FFF2-40B4-BE49-F238E27FC236}">
              <a16:creationId xmlns:a16="http://schemas.microsoft.com/office/drawing/2014/main" id="{1C47131F-3612-F4CF-E2A1-0C1E1FB16822}"/>
            </a:ext>
          </a:extLst>
        </xdr:cNvPr>
        <xdr:cNvSpPr txBox="1"/>
      </xdr:nvSpPr>
      <xdr:spPr>
        <a:xfrm>
          <a:off x="8442613" y="86591"/>
          <a:ext cx="1582293"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0" cap="none" spc="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rPr>
            <a:t>Let the Magic Happen</a:t>
          </a:r>
        </a:p>
      </xdr:txBody>
    </xdr:sp>
    <xdr:clientData/>
  </xdr:oneCellAnchor>
  <xdr:twoCellAnchor editAs="oneCell">
    <xdr:from>
      <xdr:col>12</xdr:col>
      <xdr:colOff>180398</xdr:colOff>
      <xdr:row>0</xdr:row>
      <xdr:rowOff>64945</xdr:rowOff>
    </xdr:from>
    <xdr:to>
      <xdr:col>12</xdr:col>
      <xdr:colOff>503958</xdr:colOff>
      <xdr:row>2</xdr:row>
      <xdr:rowOff>11546</xdr:rowOff>
    </xdr:to>
    <xdr:pic macro="[0]!Refresh_Pivot_Adeolu">
      <xdr:nvPicPr>
        <xdr:cNvPr id="68" name="Graphic 67" descr="Repeat with solid fill">
          <a:extLst>
            <a:ext uri="{FF2B5EF4-FFF2-40B4-BE49-F238E27FC236}">
              <a16:creationId xmlns:a16="http://schemas.microsoft.com/office/drawing/2014/main" id="{30CE3F27-E7BC-9636-AD73-F01C086793C2}"/>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8168409" y="64945"/>
          <a:ext cx="329910" cy="329910"/>
        </a:xfrm>
        <a:prstGeom prst="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585613</xdr:colOff>
      <xdr:row>14</xdr:row>
      <xdr:rowOff>169331</xdr:rowOff>
    </xdr:from>
    <xdr:to>
      <xdr:col>12</xdr:col>
      <xdr:colOff>416281</xdr:colOff>
      <xdr:row>18</xdr:row>
      <xdr:rowOff>155222</xdr:rowOff>
    </xdr:to>
    <xdr:sp macro="" textlink="">
      <xdr:nvSpPr>
        <xdr:cNvPr id="46" name="Flowchart: Merge 45">
          <a:extLst>
            <a:ext uri="{FF2B5EF4-FFF2-40B4-BE49-F238E27FC236}">
              <a16:creationId xmlns:a16="http://schemas.microsoft.com/office/drawing/2014/main" id="{89BF81E2-28A3-7D82-2C1F-FE9FD6BB0D79}"/>
            </a:ext>
          </a:extLst>
        </xdr:cNvPr>
        <xdr:cNvSpPr/>
      </xdr:nvSpPr>
      <xdr:spPr>
        <a:xfrm rot="16200000">
          <a:off x="7076724" y="2441220"/>
          <a:ext cx="776113" cy="1820335"/>
        </a:xfrm>
        <a:prstGeom prst="flowChartMerge">
          <a:avLst/>
        </a:prstGeom>
        <a:gradFill>
          <a:gsLst>
            <a:gs pos="0">
              <a:srgbClr val="F86EB0"/>
            </a:gs>
            <a:gs pos="56000">
              <a:srgbClr val="9947F7"/>
            </a:gs>
          </a:gsLst>
          <a:path path="circle">
            <a:fillToRect l="100000" t="10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clientData/>
  </xdr:twoCellAnchor>
  <xdr:twoCellAnchor>
    <xdr:from>
      <xdr:col>0</xdr:col>
      <xdr:colOff>0</xdr:colOff>
      <xdr:row>0</xdr:row>
      <xdr:rowOff>28223</xdr:rowOff>
    </xdr:from>
    <xdr:to>
      <xdr:col>26</xdr:col>
      <xdr:colOff>99821</xdr:colOff>
      <xdr:row>2</xdr:row>
      <xdr:rowOff>121615</xdr:rowOff>
    </xdr:to>
    <xdr:grpSp>
      <xdr:nvGrpSpPr>
        <xdr:cNvPr id="2" name="Group 1">
          <a:extLst>
            <a:ext uri="{FF2B5EF4-FFF2-40B4-BE49-F238E27FC236}">
              <a16:creationId xmlns:a16="http://schemas.microsoft.com/office/drawing/2014/main" id="{A59E10C9-C474-4432-ABDB-964572383C2C}"/>
            </a:ext>
          </a:extLst>
        </xdr:cNvPr>
        <xdr:cNvGrpSpPr/>
      </xdr:nvGrpSpPr>
      <xdr:grpSpPr>
        <a:xfrm>
          <a:off x="0" y="31398"/>
          <a:ext cx="17308154" cy="494445"/>
          <a:chOff x="1" y="1"/>
          <a:chExt cx="17270221" cy="487092"/>
        </a:xfrm>
      </xdr:grpSpPr>
      <xdr:sp macro="" textlink="">
        <xdr:nvSpPr>
          <xdr:cNvPr id="3" name="Rectangle 2">
            <a:extLst>
              <a:ext uri="{FF2B5EF4-FFF2-40B4-BE49-F238E27FC236}">
                <a16:creationId xmlns:a16="http://schemas.microsoft.com/office/drawing/2014/main" id="{27C72AF8-526A-A7F2-39FF-A231E8D1A6F1}"/>
              </a:ext>
            </a:extLst>
          </xdr:cNvPr>
          <xdr:cNvSpPr/>
        </xdr:nvSpPr>
        <xdr:spPr>
          <a:xfrm>
            <a:off x="6350" y="50799"/>
            <a:ext cx="17263872" cy="393192"/>
          </a:xfrm>
          <a:prstGeom prst="rect">
            <a:avLst/>
          </a:prstGeom>
          <a:solidFill>
            <a:srgbClr val="10103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3">
            <a:extLst>
              <a:ext uri="{FF2B5EF4-FFF2-40B4-BE49-F238E27FC236}">
                <a16:creationId xmlns:a16="http://schemas.microsoft.com/office/drawing/2014/main" id="{CC7829B5-C394-FA5E-BDAD-9D634D7302F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
            <a:ext cx="1051278" cy="487092"/>
          </a:xfrm>
          <a:prstGeom prst="rect">
            <a:avLst/>
          </a:prstGeom>
        </xdr:spPr>
      </xdr:pic>
      <xdr:sp macro="" textlink="">
        <xdr:nvSpPr>
          <xdr:cNvPr id="6" name="TextBox 5">
            <a:hlinkClick xmlns:r="http://schemas.openxmlformats.org/officeDocument/2006/relationships" r:id="rId2" tooltip="http://agrilife.tamu.edu"/>
            <a:extLst>
              <a:ext uri="{FF2B5EF4-FFF2-40B4-BE49-F238E27FC236}">
                <a16:creationId xmlns:a16="http://schemas.microsoft.com/office/drawing/2014/main" id="{7D4727F3-A447-5AAE-4940-E685C903FEB3}"/>
              </a:ext>
            </a:extLst>
          </xdr:cNvPr>
          <xdr:cNvSpPr txBox="1"/>
        </xdr:nvSpPr>
        <xdr:spPr>
          <a:xfrm>
            <a:off x="5771444" y="70556"/>
            <a:ext cx="1354666" cy="303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chemeClr val="bg1"/>
                </a:solidFill>
                <a:latin typeface="Avenir"/>
              </a:rPr>
              <a:t>Connect</a:t>
            </a:r>
          </a:p>
        </xdr:txBody>
      </xdr:sp>
      <xdr:sp macro="" textlink="">
        <xdr:nvSpPr>
          <xdr:cNvPr id="7" name="TextBox 6">
            <a:hlinkClick xmlns:r="http://schemas.openxmlformats.org/officeDocument/2006/relationships" r:id="rId3" tooltip="Production"/>
            <a:extLst>
              <a:ext uri="{FF2B5EF4-FFF2-40B4-BE49-F238E27FC236}">
                <a16:creationId xmlns:a16="http://schemas.microsoft.com/office/drawing/2014/main" id="{E3061B6B-53AA-B369-C857-5CE79B0C258D}"/>
              </a:ext>
            </a:extLst>
          </xdr:cNvPr>
          <xdr:cNvSpPr txBox="1"/>
        </xdr:nvSpPr>
        <xdr:spPr>
          <a:xfrm>
            <a:off x="10301111" y="98072"/>
            <a:ext cx="1354666" cy="303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chemeClr val="bg1"/>
                </a:solidFill>
                <a:latin typeface="Avenir"/>
              </a:rPr>
              <a:t>Production</a:t>
            </a:r>
          </a:p>
        </xdr:txBody>
      </xdr:sp>
      <xdr:sp macro="" textlink="">
        <xdr:nvSpPr>
          <xdr:cNvPr id="8" name="TextBox 7">
            <a:hlinkClick xmlns:r="http://schemas.openxmlformats.org/officeDocument/2006/relationships" r:id="rId4" tooltip="Income"/>
            <a:extLst>
              <a:ext uri="{FF2B5EF4-FFF2-40B4-BE49-F238E27FC236}">
                <a16:creationId xmlns:a16="http://schemas.microsoft.com/office/drawing/2014/main" id="{C6742EA8-16CD-6ABC-A029-581F61180139}"/>
              </a:ext>
            </a:extLst>
          </xdr:cNvPr>
          <xdr:cNvSpPr txBox="1"/>
        </xdr:nvSpPr>
        <xdr:spPr>
          <a:xfrm>
            <a:off x="11610622" y="98072"/>
            <a:ext cx="1354666" cy="303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chemeClr val="bg1"/>
                </a:solidFill>
                <a:latin typeface="Avenir"/>
              </a:rPr>
              <a:t>Income</a:t>
            </a:r>
          </a:p>
        </xdr:txBody>
      </xdr:sp>
      <xdr:sp macro="" textlink="">
        <xdr:nvSpPr>
          <xdr:cNvPr id="9" name="TextBox 8">
            <a:hlinkClick xmlns:r="http://schemas.openxmlformats.org/officeDocument/2006/relationships" r:id="rId5" tooltip="Operations"/>
            <a:extLst>
              <a:ext uri="{FF2B5EF4-FFF2-40B4-BE49-F238E27FC236}">
                <a16:creationId xmlns:a16="http://schemas.microsoft.com/office/drawing/2014/main" id="{0DC648C0-F6DE-DBA3-85BC-8A24204DA577}"/>
              </a:ext>
            </a:extLst>
          </xdr:cNvPr>
          <xdr:cNvSpPr txBox="1"/>
        </xdr:nvSpPr>
        <xdr:spPr>
          <a:xfrm>
            <a:off x="12920133" y="98072"/>
            <a:ext cx="1354666" cy="303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chemeClr val="bg1"/>
                </a:solidFill>
                <a:latin typeface="Avenir"/>
              </a:rPr>
              <a:t>Operations</a:t>
            </a:r>
          </a:p>
          <a:p>
            <a:pPr algn="ctr"/>
            <a:endParaRPr lang="en-US" sz="1200">
              <a:solidFill>
                <a:schemeClr val="bg1"/>
              </a:solidFill>
              <a:latin typeface="Avenir"/>
            </a:endParaRPr>
          </a:p>
        </xdr:txBody>
      </xdr:sp>
      <xdr:sp macro="" textlink="">
        <xdr:nvSpPr>
          <xdr:cNvPr id="10" name="TextBox 9">
            <a:hlinkClick xmlns:r="http://schemas.openxmlformats.org/officeDocument/2006/relationships" r:id="rId6" tooltip="Investment"/>
            <a:extLst>
              <a:ext uri="{FF2B5EF4-FFF2-40B4-BE49-F238E27FC236}">
                <a16:creationId xmlns:a16="http://schemas.microsoft.com/office/drawing/2014/main" id="{0BBD0399-0D96-8FED-D309-92B3D93BB1BB}"/>
              </a:ext>
            </a:extLst>
          </xdr:cNvPr>
          <xdr:cNvSpPr txBox="1"/>
        </xdr:nvSpPr>
        <xdr:spPr>
          <a:xfrm>
            <a:off x="14229644" y="98072"/>
            <a:ext cx="1354666" cy="303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chemeClr val="bg1"/>
                </a:solidFill>
                <a:latin typeface="Avenir"/>
              </a:rPr>
              <a:t>Investment</a:t>
            </a:r>
          </a:p>
        </xdr:txBody>
      </xdr:sp>
      <xdr:grpSp>
        <xdr:nvGrpSpPr>
          <xdr:cNvPr id="11" name="Graphic 11" descr="Compass outline">
            <a:extLst>
              <a:ext uri="{FF2B5EF4-FFF2-40B4-BE49-F238E27FC236}">
                <a16:creationId xmlns:a16="http://schemas.microsoft.com/office/drawing/2014/main" id="{435F9E29-E006-94EF-4743-4C1839E997B2}"/>
              </a:ext>
            </a:extLst>
          </xdr:cNvPr>
          <xdr:cNvGrpSpPr/>
        </xdr:nvGrpSpPr>
        <xdr:grpSpPr>
          <a:xfrm>
            <a:off x="5874456" y="77611"/>
            <a:ext cx="270933" cy="261056"/>
            <a:chOff x="5458178" y="1140178"/>
            <a:chExt cx="609600" cy="609600"/>
          </a:xfrm>
          <a:solidFill>
            <a:srgbClr val="000000"/>
          </a:solidFill>
        </xdr:grpSpPr>
        <xdr:sp macro="" textlink="">
          <xdr:nvSpPr>
            <xdr:cNvPr id="12" name="Freeform: Shape 11">
              <a:extLst>
                <a:ext uri="{FF2B5EF4-FFF2-40B4-BE49-F238E27FC236}">
                  <a16:creationId xmlns:a16="http://schemas.microsoft.com/office/drawing/2014/main" id="{E6617FB2-7712-C85D-0BB3-EB9B449FFC39}"/>
                </a:ext>
              </a:extLst>
            </xdr:cNvPr>
            <xdr:cNvSpPr/>
          </xdr:nvSpPr>
          <xdr:spPr>
            <a:xfrm>
              <a:off x="5458178" y="1140178"/>
              <a:ext cx="609600" cy="609600"/>
            </a:xfrm>
            <a:custGeom>
              <a:avLst/>
              <a:gdLst>
                <a:gd name="connsiteX0" fmla="*/ 304800 w 609600"/>
                <a:gd name="connsiteY0" fmla="*/ 19050 h 609600"/>
                <a:gd name="connsiteX1" fmla="*/ 590550 w 609600"/>
                <a:gd name="connsiteY1" fmla="*/ 304800 h 609600"/>
                <a:gd name="connsiteX2" fmla="*/ 304800 w 609600"/>
                <a:gd name="connsiteY2" fmla="*/ 590550 h 609600"/>
                <a:gd name="connsiteX3" fmla="*/ 19050 w 609600"/>
                <a:gd name="connsiteY3" fmla="*/ 304800 h 609600"/>
                <a:gd name="connsiteX4" fmla="*/ 304800 w 609600"/>
                <a:gd name="connsiteY4" fmla="*/ 19050 h 609600"/>
                <a:gd name="connsiteX5" fmla="*/ 304800 w 609600"/>
                <a:gd name="connsiteY5" fmla="*/ 0 h 609600"/>
                <a:gd name="connsiteX6" fmla="*/ 0 w 609600"/>
                <a:gd name="connsiteY6" fmla="*/ 304800 h 609600"/>
                <a:gd name="connsiteX7" fmla="*/ 304800 w 609600"/>
                <a:gd name="connsiteY7" fmla="*/ 609600 h 609600"/>
                <a:gd name="connsiteX8" fmla="*/ 609600 w 609600"/>
                <a:gd name="connsiteY8" fmla="*/ 304800 h 609600"/>
                <a:gd name="connsiteX9" fmla="*/ 304800 w 609600"/>
                <a:gd name="connsiteY9" fmla="*/ 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609600" h="609600">
                  <a:moveTo>
                    <a:pt x="304800" y="19050"/>
                  </a:moveTo>
                  <a:cubicBezTo>
                    <a:pt x="462615" y="19050"/>
                    <a:pt x="590550" y="146985"/>
                    <a:pt x="590550" y="304800"/>
                  </a:cubicBezTo>
                  <a:cubicBezTo>
                    <a:pt x="590550" y="462615"/>
                    <a:pt x="462615" y="590550"/>
                    <a:pt x="304800" y="590550"/>
                  </a:cubicBezTo>
                  <a:cubicBezTo>
                    <a:pt x="146985" y="590550"/>
                    <a:pt x="19050" y="462615"/>
                    <a:pt x="19050" y="304800"/>
                  </a:cubicBezTo>
                  <a:cubicBezTo>
                    <a:pt x="19228" y="147058"/>
                    <a:pt x="147058" y="19228"/>
                    <a:pt x="304800" y="19050"/>
                  </a:cubicBezTo>
                  <a:moveTo>
                    <a:pt x="304800" y="0"/>
                  </a:moveTo>
                  <a:cubicBezTo>
                    <a:pt x="136464" y="0"/>
                    <a:pt x="0" y="136464"/>
                    <a:pt x="0" y="304800"/>
                  </a:cubicBezTo>
                  <a:cubicBezTo>
                    <a:pt x="0" y="473136"/>
                    <a:pt x="136464" y="609600"/>
                    <a:pt x="304800" y="609600"/>
                  </a:cubicBezTo>
                  <a:cubicBezTo>
                    <a:pt x="473136" y="609600"/>
                    <a:pt x="609600" y="473136"/>
                    <a:pt x="609600" y="304800"/>
                  </a:cubicBezTo>
                  <a:cubicBezTo>
                    <a:pt x="609411" y="136542"/>
                    <a:pt x="473058" y="189"/>
                    <a:pt x="304800" y="0"/>
                  </a:cubicBezTo>
                  <a:close/>
                </a:path>
              </a:pathLst>
            </a:custGeom>
            <a:solidFill>
              <a:srgbClr val="000000"/>
            </a:solidFill>
            <a:ln w="9525" cap="flat">
              <a:solidFill>
                <a:schemeClr val="bg1"/>
              </a:solidFill>
              <a:prstDash val="solid"/>
              <a:miter/>
            </a:ln>
          </xdr:spPr>
          <xdr:txBody>
            <a:bodyPr rtlCol="0" anchor="ctr"/>
            <a:lstStyle/>
            <a:p>
              <a:endParaRPr lang="en-US"/>
            </a:p>
          </xdr:txBody>
        </xdr:sp>
        <xdr:sp macro="" textlink="">
          <xdr:nvSpPr>
            <xdr:cNvPr id="13" name="Freeform: Shape 12">
              <a:extLst>
                <a:ext uri="{FF2B5EF4-FFF2-40B4-BE49-F238E27FC236}">
                  <a16:creationId xmlns:a16="http://schemas.microsoft.com/office/drawing/2014/main" id="{58FCC76E-11B9-CD11-BEFD-8993CE1E4F65}"/>
                </a:ext>
              </a:extLst>
            </xdr:cNvPr>
            <xdr:cNvSpPr/>
          </xdr:nvSpPr>
          <xdr:spPr>
            <a:xfrm>
              <a:off x="5614388" y="1298292"/>
              <a:ext cx="295275" cy="295275"/>
            </a:xfrm>
            <a:custGeom>
              <a:avLst/>
              <a:gdLst>
                <a:gd name="connsiteX0" fmla="*/ 194939 w 295275"/>
                <a:gd name="connsiteY0" fmla="*/ 194948 h 295275"/>
                <a:gd name="connsiteX1" fmla="*/ 35023 w 295275"/>
                <a:gd name="connsiteY1" fmla="*/ 260366 h 295275"/>
                <a:gd name="connsiteX2" fmla="*/ 100336 w 295275"/>
                <a:gd name="connsiteY2" fmla="*/ 102175 h 295275"/>
                <a:gd name="connsiteX3" fmla="*/ 260252 w 295275"/>
                <a:gd name="connsiteY3" fmla="*/ 35290 h 295275"/>
                <a:gd name="connsiteX4" fmla="*/ 85725 w 295275"/>
                <a:gd name="connsiteY4" fmla="*/ 87630 h 295275"/>
                <a:gd name="connsiteX5" fmla="*/ 0 w 295275"/>
                <a:gd name="connsiteY5" fmla="*/ 295275 h 295275"/>
                <a:gd name="connsiteX6" fmla="*/ 209550 w 295275"/>
                <a:gd name="connsiteY6" fmla="*/ 209550 h 295275"/>
                <a:gd name="connsiteX7" fmla="*/ 295275 w 295275"/>
                <a:gd name="connsiteY7" fmla="*/ 0 h 2952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5275" h="295275">
                  <a:moveTo>
                    <a:pt x="194939" y="194948"/>
                  </a:moveTo>
                  <a:lnTo>
                    <a:pt x="35023" y="260366"/>
                  </a:lnTo>
                  <a:lnTo>
                    <a:pt x="100336" y="102175"/>
                  </a:lnTo>
                  <a:lnTo>
                    <a:pt x="260252" y="35290"/>
                  </a:lnTo>
                  <a:close/>
                  <a:moveTo>
                    <a:pt x="85725" y="87630"/>
                  </a:moveTo>
                  <a:lnTo>
                    <a:pt x="0" y="295275"/>
                  </a:lnTo>
                  <a:lnTo>
                    <a:pt x="209550" y="209550"/>
                  </a:lnTo>
                  <a:lnTo>
                    <a:pt x="295275" y="0"/>
                  </a:lnTo>
                  <a:close/>
                </a:path>
              </a:pathLst>
            </a:custGeom>
            <a:solidFill>
              <a:srgbClr val="000000"/>
            </a:solidFill>
            <a:ln w="9525" cap="flat">
              <a:solidFill>
                <a:schemeClr val="bg1"/>
              </a:solidFill>
              <a:prstDash val="solid"/>
              <a:miter/>
            </a:ln>
          </xdr:spPr>
          <xdr:txBody>
            <a:bodyPr rtlCol="0" anchor="ctr"/>
            <a:lstStyle/>
            <a:p>
              <a:endParaRPr lang="en-US"/>
            </a:p>
          </xdr:txBody>
        </xdr:sp>
        <xdr:sp macro="" textlink="">
          <xdr:nvSpPr>
            <xdr:cNvPr id="14" name="Freeform: Shape 13">
              <a:extLst>
                <a:ext uri="{FF2B5EF4-FFF2-40B4-BE49-F238E27FC236}">
                  <a16:creationId xmlns:a16="http://schemas.microsoft.com/office/drawing/2014/main" id="{2EE669D2-31A6-8A43-FF46-7B0EBADC55AF}"/>
                </a:ext>
              </a:extLst>
            </xdr:cNvPr>
            <xdr:cNvSpPr/>
          </xdr:nvSpPr>
          <xdr:spPr>
            <a:xfrm>
              <a:off x="5743928" y="1425928"/>
              <a:ext cx="38100" cy="38100"/>
            </a:xfrm>
            <a:custGeom>
              <a:avLst/>
              <a:gdLst>
                <a:gd name="connsiteX0" fmla="*/ 38100 w 38100"/>
                <a:gd name="connsiteY0" fmla="*/ 19050 h 38100"/>
                <a:gd name="connsiteX1" fmla="*/ 19050 w 38100"/>
                <a:gd name="connsiteY1" fmla="*/ 38100 h 38100"/>
                <a:gd name="connsiteX2" fmla="*/ 0 w 38100"/>
                <a:gd name="connsiteY2" fmla="*/ 19050 h 38100"/>
                <a:gd name="connsiteX3" fmla="*/ 19050 w 38100"/>
                <a:gd name="connsiteY3" fmla="*/ 0 h 38100"/>
                <a:gd name="connsiteX4" fmla="*/ 38100 w 38100"/>
                <a:gd name="connsiteY4" fmla="*/ 19050 h 381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8100" h="38100">
                  <a:moveTo>
                    <a:pt x="38100" y="19050"/>
                  </a:moveTo>
                  <a:cubicBezTo>
                    <a:pt x="38100" y="29571"/>
                    <a:pt x="29571" y="38100"/>
                    <a:pt x="19050" y="38100"/>
                  </a:cubicBezTo>
                  <a:cubicBezTo>
                    <a:pt x="8529" y="38100"/>
                    <a:pt x="0" y="29571"/>
                    <a:pt x="0" y="19050"/>
                  </a:cubicBezTo>
                  <a:cubicBezTo>
                    <a:pt x="0" y="8529"/>
                    <a:pt x="8529" y="0"/>
                    <a:pt x="19050" y="0"/>
                  </a:cubicBezTo>
                  <a:cubicBezTo>
                    <a:pt x="29571" y="0"/>
                    <a:pt x="38100" y="8529"/>
                    <a:pt x="38100" y="19050"/>
                  </a:cubicBezTo>
                  <a:close/>
                </a:path>
              </a:pathLst>
            </a:custGeom>
            <a:solidFill>
              <a:srgbClr val="000000"/>
            </a:solidFill>
            <a:ln w="9525" cap="flat">
              <a:solidFill>
                <a:schemeClr val="bg1"/>
              </a:solidFill>
              <a:prstDash val="solid"/>
              <a:miter/>
            </a:ln>
          </xdr:spPr>
          <xdr:txBody>
            <a:bodyPr rtlCol="0" anchor="ctr"/>
            <a:lstStyle/>
            <a:p>
              <a:endParaRPr lang="en-US"/>
            </a:p>
          </xdr:txBody>
        </xdr:sp>
      </xdr:grpSp>
    </xdr:grpSp>
    <xdr:clientData/>
  </xdr:twoCellAnchor>
  <xdr:twoCellAnchor>
    <xdr:from>
      <xdr:col>18</xdr:col>
      <xdr:colOff>148167</xdr:colOff>
      <xdr:row>1</xdr:row>
      <xdr:rowOff>169333</xdr:rowOff>
    </xdr:from>
    <xdr:to>
      <xdr:col>18</xdr:col>
      <xdr:colOff>422487</xdr:colOff>
      <xdr:row>2</xdr:row>
      <xdr:rowOff>21167</xdr:rowOff>
    </xdr:to>
    <xdr:sp macro="" textlink="">
      <xdr:nvSpPr>
        <xdr:cNvPr id="15" name="Rectangle: Rounded Corners 14">
          <a:extLst>
            <a:ext uri="{FF2B5EF4-FFF2-40B4-BE49-F238E27FC236}">
              <a16:creationId xmlns:a16="http://schemas.microsoft.com/office/drawing/2014/main" id="{EDBBD87F-0E04-4F10-A7A8-14F6F53097E0}"/>
            </a:ext>
          </a:extLst>
        </xdr:cNvPr>
        <xdr:cNvSpPr/>
      </xdr:nvSpPr>
      <xdr:spPr>
        <a:xfrm>
          <a:off x="12086167" y="366889"/>
          <a:ext cx="274320" cy="49389"/>
        </a:xfrm>
        <a:prstGeom prst="roundRect">
          <a:avLst>
            <a:gd name="adj" fmla="val 49099"/>
          </a:avLst>
        </a:prstGeom>
        <a:solidFill>
          <a:srgbClr val="194AF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112886</xdr:colOff>
      <xdr:row>0</xdr:row>
      <xdr:rowOff>35280</xdr:rowOff>
    </xdr:from>
    <xdr:to>
      <xdr:col>7</xdr:col>
      <xdr:colOff>21163</xdr:colOff>
      <xdr:row>2</xdr:row>
      <xdr:rowOff>7058</xdr:rowOff>
    </xdr:to>
    <xdr:sp macro="" textlink="">
      <xdr:nvSpPr>
        <xdr:cNvPr id="16" name="TextBox 15">
          <a:extLst>
            <a:ext uri="{FF2B5EF4-FFF2-40B4-BE49-F238E27FC236}">
              <a16:creationId xmlns:a16="http://schemas.microsoft.com/office/drawing/2014/main" id="{4B3BEAE2-4749-4145-971F-C76A2198C8DF}"/>
            </a:ext>
          </a:extLst>
        </xdr:cNvPr>
        <xdr:cNvSpPr txBox="1"/>
      </xdr:nvSpPr>
      <xdr:spPr>
        <a:xfrm>
          <a:off x="2102553" y="35280"/>
          <a:ext cx="2561166" cy="3668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1"/>
              </a:solidFill>
              <a:latin typeface="Avenir"/>
            </a:rPr>
            <a:t>FEEDLOT ECONOMICS</a:t>
          </a:r>
        </a:p>
      </xdr:txBody>
    </xdr:sp>
    <xdr:clientData/>
  </xdr:twoCellAnchor>
  <xdr:oneCellAnchor>
    <xdr:from>
      <xdr:col>12</xdr:col>
      <xdr:colOff>302426</xdr:colOff>
      <xdr:row>0</xdr:row>
      <xdr:rowOff>78091</xdr:rowOff>
    </xdr:from>
    <xdr:ext cx="1582293" cy="280205"/>
    <xdr:sp macro="[0]!Refresh_Pivot_Adeolu" textlink="">
      <xdr:nvSpPr>
        <xdr:cNvPr id="5" name="TextBox 4">
          <a:extLst>
            <a:ext uri="{FF2B5EF4-FFF2-40B4-BE49-F238E27FC236}">
              <a16:creationId xmlns:a16="http://schemas.microsoft.com/office/drawing/2014/main" id="{0469DA17-2DD0-40AC-9667-8B693B08CECC}"/>
            </a:ext>
          </a:extLst>
        </xdr:cNvPr>
        <xdr:cNvSpPr txBox="1"/>
      </xdr:nvSpPr>
      <xdr:spPr>
        <a:xfrm>
          <a:off x="8261093" y="78091"/>
          <a:ext cx="1582293"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0" cap="none" spc="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rPr>
            <a:t>Let the Magic Happen</a:t>
          </a:r>
        </a:p>
      </xdr:txBody>
    </xdr:sp>
    <xdr:clientData/>
  </xdr:oneCellAnchor>
  <xdr:twoCellAnchor editAs="oneCell">
    <xdr:from>
      <xdr:col>12</xdr:col>
      <xdr:colOff>28222</xdr:colOff>
      <xdr:row>0</xdr:row>
      <xdr:rowOff>56445</xdr:rowOff>
    </xdr:from>
    <xdr:to>
      <xdr:col>12</xdr:col>
      <xdr:colOff>358132</xdr:colOff>
      <xdr:row>1</xdr:row>
      <xdr:rowOff>188799</xdr:rowOff>
    </xdr:to>
    <xdr:pic macro="[0]!Refresh_Pivot_Adeolu">
      <xdr:nvPicPr>
        <xdr:cNvPr id="17" name="Graphic 16" descr="Repeat with solid fill">
          <a:extLst>
            <a:ext uri="{FF2B5EF4-FFF2-40B4-BE49-F238E27FC236}">
              <a16:creationId xmlns:a16="http://schemas.microsoft.com/office/drawing/2014/main" id="{495330BA-DF5C-483D-AF91-221EA558A81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986889" y="56445"/>
          <a:ext cx="329910" cy="329910"/>
        </a:xfrm>
        <a:prstGeom prst="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pic>
    <xdr:clientData/>
  </xdr:twoCellAnchor>
  <xdr:twoCellAnchor editAs="oneCell">
    <xdr:from>
      <xdr:col>0</xdr:col>
      <xdr:colOff>585609</xdr:colOff>
      <xdr:row>10</xdr:row>
      <xdr:rowOff>105829</xdr:rowOff>
    </xdr:from>
    <xdr:to>
      <xdr:col>5</xdr:col>
      <xdr:colOff>130206</xdr:colOff>
      <xdr:row>12</xdr:row>
      <xdr:rowOff>114489</xdr:rowOff>
    </xdr:to>
    <mc:AlternateContent xmlns:mc="http://schemas.openxmlformats.org/markup-compatibility/2006" xmlns:a14="http://schemas.microsoft.com/office/drawing/2010/main">
      <mc:Choice Requires="a14">
        <xdr:graphicFrame macro="">
          <xdr:nvGraphicFramePr>
            <xdr:cNvPr id="18" name="Year  1">
              <a:extLst>
                <a:ext uri="{FF2B5EF4-FFF2-40B4-BE49-F238E27FC236}">
                  <a16:creationId xmlns:a16="http://schemas.microsoft.com/office/drawing/2014/main" id="{76D86EB6-AF81-444F-8782-C3EF6877FB63}"/>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85609" y="2109607"/>
              <a:ext cx="2860708" cy="4037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557386</xdr:colOff>
      <xdr:row>12</xdr:row>
      <xdr:rowOff>119942</xdr:rowOff>
    </xdr:from>
    <xdr:to>
      <xdr:col>5</xdr:col>
      <xdr:colOff>31043</xdr:colOff>
      <xdr:row>19</xdr:row>
      <xdr:rowOff>155219</xdr:rowOff>
    </xdr:to>
    <xdr:grpSp>
      <xdr:nvGrpSpPr>
        <xdr:cNvPr id="20" name="Group 19">
          <a:extLst>
            <a:ext uri="{FF2B5EF4-FFF2-40B4-BE49-F238E27FC236}">
              <a16:creationId xmlns:a16="http://schemas.microsoft.com/office/drawing/2014/main" id="{10D58CDB-6922-433F-A168-3FF1E9139325}"/>
            </a:ext>
          </a:extLst>
        </xdr:cNvPr>
        <xdr:cNvGrpSpPr/>
      </xdr:nvGrpSpPr>
      <xdr:grpSpPr>
        <a:xfrm>
          <a:off x="560561" y="2559512"/>
          <a:ext cx="2775991" cy="1435786"/>
          <a:chOff x="406399" y="2758722"/>
          <a:chExt cx="2768601" cy="1418166"/>
        </a:xfrm>
      </xdr:grpSpPr>
      <xdr:sp macro="" textlink="">
        <xdr:nvSpPr>
          <xdr:cNvPr id="21" name="TextBox 20">
            <a:extLst>
              <a:ext uri="{FF2B5EF4-FFF2-40B4-BE49-F238E27FC236}">
                <a16:creationId xmlns:a16="http://schemas.microsoft.com/office/drawing/2014/main" id="{C8436249-AB6B-0E21-C213-0A0DC1EAFBAD}"/>
              </a:ext>
            </a:extLst>
          </xdr:cNvPr>
          <xdr:cNvSpPr txBox="1"/>
        </xdr:nvSpPr>
        <xdr:spPr>
          <a:xfrm>
            <a:off x="437443" y="2758722"/>
            <a:ext cx="2737557" cy="5432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latin typeface="Avenir Next LT Pro Light" panose="020B0304020202020204" pitchFamily="34" charset="0"/>
              </a:rPr>
              <a:t>Total Revenue</a:t>
            </a:r>
          </a:p>
        </xdr:txBody>
      </xdr:sp>
      <xdr:sp macro="" textlink="'Pivot Tables'!R4">
        <xdr:nvSpPr>
          <xdr:cNvPr id="22" name="TextBox 21">
            <a:extLst>
              <a:ext uri="{FF2B5EF4-FFF2-40B4-BE49-F238E27FC236}">
                <a16:creationId xmlns:a16="http://schemas.microsoft.com/office/drawing/2014/main" id="{5B2F31EB-7C8B-455A-64FA-F7B6088D28E8}"/>
              </a:ext>
            </a:extLst>
          </xdr:cNvPr>
          <xdr:cNvSpPr txBox="1"/>
        </xdr:nvSpPr>
        <xdr:spPr>
          <a:xfrm>
            <a:off x="406399" y="3139723"/>
            <a:ext cx="2751582" cy="670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F374110-9046-4AE3-A738-CFE5430922D6}" type="TxLink">
              <a:rPr lang="en-US" sz="3500" b="0" i="0" u="none" strike="noStrike">
                <a:solidFill>
                  <a:schemeClr val="accent4">
                    <a:lumMod val="60000"/>
                    <a:lumOff val="40000"/>
                  </a:schemeClr>
                </a:solidFill>
                <a:latin typeface="Agency FB" panose="020B0503020202020204" pitchFamily="34" charset="0"/>
                <a:ea typeface="ADLaM Display" panose="02010000000000000000" pitchFamily="2" charset="0"/>
                <a:cs typeface="Angsana New" panose="020B0502040204020203" pitchFamily="18" charset="-34"/>
              </a:rPr>
              <a:pPr/>
              <a:t>$2,307,410</a:t>
            </a:fld>
            <a:endParaRPr lang="en-US" sz="3500" b="0">
              <a:solidFill>
                <a:schemeClr val="accent4">
                  <a:lumMod val="60000"/>
                  <a:lumOff val="40000"/>
                </a:schemeClr>
              </a:solidFill>
              <a:latin typeface="Agency FB" panose="020B0503020202020204" pitchFamily="34" charset="0"/>
              <a:ea typeface="ADLaM Display" panose="02010000000000000000" pitchFamily="2" charset="0"/>
              <a:cs typeface="Angsana New" panose="020B0502040204020203" pitchFamily="18" charset="-34"/>
            </a:endParaRPr>
          </a:p>
        </xdr:txBody>
      </xdr:sp>
      <xdr:sp macro="" textlink="'Pivot Tables'!Q4">
        <xdr:nvSpPr>
          <xdr:cNvPr id="23" name="TextBox 22">
            <a:extLst>
              <a:ext uri="{FF2B5EF4-FFF2-40B4-BE49-F238E27FC236}">
                <a16:creationId xmlns:a16="http://schemas.microsoft.com/office/drawing/2014/main" id="{FBBD9728-5458-ED8D-AFAF-C2E72499FA8E}"/>
              </a:ext>
            </a:extLst>
          </xdr:cNvPr>
          <xdr:cNvSpPr txBox="1"/>
        </xdr:nvSpPr>
        <xdr:spPr>
          <a:xfrm>
            <a:off x="1603021" y="3852333"/>
            <a:ext cx="1547868" cy="324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BDD8EE7-E8B9-4C2F-8DF2-7709C1B1694B}" type="TxLink">
              <a:rPr lang="en-US" sz="1600" b="0" i="0" u="none" strike="noStrike">
                <a:solidFill>
                  <a:schemeClr val="accent4">
                    <a:lumMod val="60000"/>
                    <a:lumOff val="40000"/>
                  </a:schemeClr>
                </a:solidFill>
                <a:latin typeface="Agency FB" panose="020B0503020202020204" pitchFamily="34" charset="0"/>
                <a:ea typeface="Calibri"/>
                <a:cs typeface="Calibri"/>
              </a:rPr>
              <a:pPr/>
              <a:t>$2,124,956</a:t>
            </a:fld>
            <a:endParaRPr lang="en-US" sz="2000" b="0">
              <a:solidFill>
                <a:schemeClr val="accent4">
                  <a:lumMod val="60000"/>
                  <a:lumOff val="40000"/>
                </a:schemeClr>
              </a:solidFill>
              <a:latin typeface="Agency FB" panose="020B0503020202020204" pitchFamily="34" charset="0"/>
            </a:endParaRPr>
          </a:p>
        </xdr:txBody>
      </xdr:sp>
      <xdr:sp macro="" textlink="">
        <xdr:nvSpPr>
          <xdr:cNvPr id="24" name="TextBox 23">
            <a:extLst>
              <a:ext uri="{FF2B5EF4-FFF2-40B4-BE49-F238E27FC236}">
                <a16:creationId xmlns:a16="http://schemas.microsoft.com/office/drawing/2014/main" id="{1403D2AD-D1B4-7049-6BD1-DA94B145D609}"/>
              </a:ext>
            </a:extLst>
          </xdr:cNvPr>
          <xdr:cNvSpPr txBox="1"/>
        </xdr:nvSpPr>
        <xdr:spPr>
          <a:xfrm>
            <a:off x="448732" y="3894667"/>
            <a:ext cx="1435101" cy="265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solidFill>
                <a:latin typeface="Avenir Next LT Pro Light" panose="020B0304020202020204" pitchFamily="34" charset="0"/>
              </a:rPr>
              <a:t>Total Expenses</a:t>
            </a:r>
          </a:p>
        </xdr:txBody>
      </xdr:sp>
    </xdr:grpSp>
    <xdr:clientData/>
  </xdr:twoCellAnchor>
  <xdr:twoCellAnchor>
    <xdr:from>
      <xdr:col>1</xdr:col>
      <xdr:colOff>35280</xdr:colOff>
      <xdr:row>20</xdr:row>
      <xdr:rowOff>35273</xdr:rowOff>
    </xdr:from>
    <xdr:to>
      <xdr:col>4</xdr:col>
      <xdr:colOff>14108</xdr:colOff>
      <xdr:row>24</xdr:row>
      <xdr:rowOff>119939</xdr:rowOff>
    </xdr:to>
    <xdr:grpSp>
      <xdr:nvGrpSpPr>
        <xdr:cNvPr id="27" name="Group 26">
          <a:extLst>
            <a:ext uri="{FF2B5EF4-FFF2-40B4-BE49-F238E27FC236}">
              <a16:creationId xmlns:a16="http://schemas.microsoft.com/office/drawing/2014/main" id="{03A0C014-8C84-4F40-84A3-F201210F0AF3}"/>
            </a:ext>
          </a:extLst>
        </xdr:cNvPr>
        <xdr:cNvGrpSpPr/>
      </xdr:nvGrpSpPr>
      <xdr:grpSpPr>
        <a:xfrm>
          <a:off x="697017" y="4075878"/>
          <a:ext cx="1960863" cy="889947"/>
          <a:chOff x="578557" y="4007554"/>
          <a:chExt cx="1968495" cy="874889"/>
        </a:xfrm>
      </xdr:grpSpPr>
      <xdr:sp macro="" textlink="">
        <xdr:nvSpPr>
          <xdr:cNvPr id="28" name="Rectangle: Rounded Corners 27">
            <a:extLst>
              <a:ext uri="{FF2B5EF4-FFF2-40B4-BE49-F238E27FC236}">
                <a16:creationId xmlns:a16="http://schemas.microsoft.com/office/drawing/2014/main" id="{F132B230-525D-BD09-5083-CEC36723B07D}"/>
              </a:ext>
            </a:extLst>
          </xdr:cNvPr>
          <xdr:cNvSpPr/>
        </xdr:nvSpPr>
        <xdr:spPr>
          <a:xfrm>
            <a:off x="578557" y="4007554"/>
            <a:ext cx="1721553" cy="874889"/>
          </a:xfrm>
          <a:prstGeom prst="roundRect">
            <a:avLst>
              <a:gd name="adj" fmla="val 18645"/>
            </a:avLst>
          </a:prstGeom>
          <a:solidFill>
            <a:srgbClr val="070E25"/>
          </a:solidFill>
          <a:ln>
            <a:solidFill>
              <a:schemeClr val="bg2">
                <a:lumMod val="1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TextBox 28">
            <a:extLst>
              <a:ext uri="{FF2B5EF4-FFF2-40B4-BE49-F238E27FC236}">
                <a16:creationId xmlns:a16="http://schemas.microsoft.com/office/drawing/2014/main" id="{B11A8724-D247-FA50-2D4A-515BF78CAF19}"/>
              </a:ext>
            </a:extLst>
          </xdr:cNvPr>
          <xdr:cNvSpPr txBox="1"/>
        </xdr:nvSpPr>
        <xdr:spPr>
          <a:xfrm>
            <a:off x="593765" y="4374457"/>
            <a:ext cx="1480567" cy="303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solidFill>
                <a:latin typeface="Avenir Next LT Pro Light" panose="020B0304020202020204" pitchFamily="34" charset="0"/>
              </a:rPr>
              <a:t>Production Cost</a:t>
            </a:r>
            <a:r>
              <a:rPr lang="en-US" sz="1000" baseline="0">
                <a:solidFill>
                  <a:schemeClr val="bg1"/>
                </a:solidFill>
                <a:latin typeface="Avenir Next LT Pro Light" panose="020B0304020202020204" pitchFamily="34" charset="0"/>
              </a:rPr>
              <a:t>:</a:t>
            </a:r>
            <a:endParaRPr lang="en-US" sz="1000">
              <a:solidFill>
                <a:schemeClr val="bg1"/>
              </a:solidFill>
              <a:latin typeface="Avenir Next LT Pro Light" panose="020B0304020202020204" pitchFamily="34" charset="0"/>
            </a:endParaRPr>
          </a:p>
        </xdr:txBody>
      </xdr:sp>
      <xdr:sp macro="" textlink="">
        <xdr:nvSpPr>
          <xdr:cNvPr id="30" name="TextBox 29">
            <a:extLst>
              <a:ext uri="{FF2B5EF4-FFF2-40B4-BE49-F238E27FC236}">
                <a16:creationId xmlns:a16="http://schemas.microsoft.com/office/drawing/2014/main" id="{EDFD9153-27FA-179D-F390-6D9E7567C841}"/>
              </a:ext>
            </a:extLst>
          </xdr:cNvPr>
          <xdr:cNvSpPr txBox="1"/>
        </xdr:nvSpPr>
        <xdr:spPr>
          <a:xfrm>
            <a:off x="590945" y="4562130"/>
            <a:ext cx="1363444" cy="285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solidFill>
                <a:latin typeface="Avenir Next LT Pro Light" panose="020B0304020202020204" pitchFamily="34" charset="0"/>
              </a:rPr>
              <a:t>Gross Profit</a:t>
            </a:r>
            <a:r>
              <a:rPr lang="en-US" sz="1000" baseline="0">
                <a:solidFill>
                  <a:schemeClr val="bg1"/>
                </a:solidFill>
                <a:latin typeface="Avenir Next LT Pro Light" panose="020B0304020202020204" pitchFamily="34" charset="0"/>
              </a:rPr>
              <a:t>:</a:t>
            </a:r>
            <a:endParaRPr lang="en-US" sz="1000">
              <a:solidFill>
                <a:schemeClr val="bg1"/>
              </a:solidFill>
              <a:latin typeface="Avenir Next LT Pro Light" panose="020B0304020202020204" pitchFamily="34" charset="0"/>
            </a:endParaRPr>
          </a:p>
        </xdr:txBody>
      </xdr:sp>
      <xdr:sp macro="" textlink="'Pivot Tables'!BK4">
        <xdr:nvSpPr>
          <xdr:cNvPr id="31" name="TextBox 30">
            <a:extLst>
              <a:ext uri="{FF2B5EF4-FFF2-40B4-BE49-F238E27FC236}">
                <a16:creationId xmlns:a16="http://schemas.microsoft.com/office/drawing/2014/main" id="{D43EEDC9-5130-6690-8886-F312CF05A9A7}"/>
              </a:ext>
            </a:extLst>
          </xdr:cNvPr>
          <xdr:cNvSpPr txBox="1"/>
        </xdr:nvSpPr>
        <xdr:spPr>
          <a:xfrm>
            <a:off x="1663867" y="4572004"/>
            <a:ext cx="883185" cy="275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FBEEC0B-A57E-41DB-B86D-8B3A965A77C8}" type="TxLink">
              <a:rPr lang="en-US" sz="1100" b="1" i="0" u="none" strike="noStrike">
                <a:solidFill>
                  <a:schemeClr val="bg1"/>
                </a:solidFill>
                <a:latin typeface="Avenir Next LT Pro" panose="020B0504020202020204" pitchFamily="34" charset="0"/>
                <a:ea typeface="Calibri"/>
                <a:cs typeface="Calibri"/>
              </a:rPr>
              <a:pPr/>
              <a:t>$182</a:t>
            </a:fld>
            <a:endParaRPr lang="en-US" sz="1050" b="1">
              <a:solidFill>
                <a:schemeClr val="bg1"/>
              </a:solidFill>
              <a:latin typeface="Avenir Next LT Pro" panose="020B0504020202020204" pitchFamily="34" charset="0"/>
              <a:cs typeface="Arial" panose="020B0604020202020204" pitchFamily="34" charset="0"/>
            </a:endParaRPr>
          </a:p>
        </xdr:txBody>
      </xdr:sp>
      <xdr:sp macro="" textlink="">
        <xdr:nvSpPr>
          <xdr:cNvPr id="32" name="TextBox 31">
            <a:extLst>
              <a:ext uri="{FF2B5EF4-FFF2-40B4-BE49-F238E27FC236}">
                <a16:creationId xmlns:a16="http://schemas.microsoft.com/office/drawing/2014/main" id="{67E26190-3EA7-A986-3539-9EC02BC13C55}"/>
              </a:ext>
            </a:extLst>
          </xdr:cNvPr>
          <xdr:cNvSpPr txBox="1"/>
        </xdr:nvSpPr>
        <xdr:spPr>
          <a:xfrm>
            <a:off x="964889" y="4018848"/>
            <a:ext cx="926001" cy="235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u="sng">
                <a:solidFill>
                  <a:schemeClr val="bg1"/>
                </a:solidFill>
                <a:latin typeface="Avenir Next LT Pro Light" panose="020B0304020202020204" pitchFamily="34" charset="0"/>
              </a:rPr>
              <a:t>Per Head</a:t>
            </a:r>
          </a:p>
        </xdr:txBody>
      </xdr:sp>
      <xdr:sp macro="" textlink="'Pivot Tables'!BJ4">
        <xdr:nvSpPr>
          <xdr:cNvPr id="33" name="TextBox 32">
            <a:extLst>
              <a:ext uri="{FF2B5EF4-FFF2-40B4-BE49-F238E27FC236}">
                <a16:creationId xmlns:a16="http://schemas.microsoft.com/office/drawing/2014/main" id="{2B763DB3-F2C3-2433-180C-86A199627F70}"/>
              </a:ext>
            </a:extLst>
          </xdr:cNvPr>
          <xdr:cNvSpPr txBox="1"/>
        </xdr:nvSpPr>
        <xdr:spPr>
          <a:xfrm>
            <a:off x="1646933" y="4364572"/>
            <a:ext cx="883185" cy="275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AECF7CD-39D9-424B-A72E-40CC30FB39AF}" type="TxLink">
              <a:rPr lang="en-US" sz="1100" b="1" i="0" u="none" strike="noStrike">
                <a:solidFill>
                  <a:schemeClr val="bg1"/>
                </a:solidFill>
                <a:latin typeface="Avenir Next LT Pro" panose="020B0504020202020204" pitchFamily="34" charset="0"/>
                <a:ea typeface="Calibri"/>
                <a:cs typeface="Calibri"/>
              </a:rPr>
              <a:pPr/>
              <a:t>$2,125</a:t>
            </a:fld>
            <a:endParaRPr lang="en-US" sz="1050" b="1">
              <a:solidFill>
                <a:schemeClr val="bg1"/>
              </a:solidFill>
              <a:latin typeface="Avenir Next LT Pro" panose="020B0504020202020204" pitchFamily="34" charset="0"/>
            </a:endParaRPr>
          </a:p>
        </xdr:txBody>
      </xdr:sp>
    </xdr:grpSp>
    <xdr:clientData/>
  </xdr:twoCellAnchor>
  <xdr:twoCellAnchor>
    <xdr:from>
      <xdr:col>0</xdr:col>
      <xdr:colOff>472718</xdr:colOff>
      <xdr:row>24</xdr:row>
      <xdr:rowOff>155219</xdr:rowOff>
    </xdr:from>
    <xdr:to>
      <xdr:col>4</xdr:col>
      <xdr:colOff>404985</xdr:colOff>
      <xdr:row>29</xdr:row>
      <xdr:rowOff>127844</xdr:rowOff>
    </xdr:to>
    <xdr:graphicFrame macro="">
      <xdr:nvGraphicFramePr>
        <xdr:cNvPr id="41" name="Chart 40">
          <a:extLst>
            <a:ext uri="{FF2B5EF4-FFF2-40B4-BE49-F238E27FC236}">
              <a16:creationId xmlns:a16="http://schemas.microsoft.com/office/drawing/2014/main" id="{72A44397-C0D7-47E5-8A49-B6459B6080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663221</xdr:colOff>
      <xdr:row>16</xdr:row>
      <xdr:rowOff>77610</xdr:rowOff>
    </xdr:from>
    <xdr:to>
      <xdr:col>11</xdr:col>
      <xdr:colOff>112890</xdr:colOff>
      <xdr:row>25</xdr:row>
      <xdr:rowOff>119945</xdr:rowOff>
    </xdr:to>
    <xdr:sp macro="" textlink="">
      <xdr:nvSpPr>
        <xdr:cNvPr id="48" name="Flowchart: Merge 47">
          <a:extLst>
            <a:ext uri="{FF2B5EF4-FFF2-40B4-BE49-F238E27FC236}">
              <a16:creationId xmlns:a16="http://schemas.microsoft.com/office/drawing/2014/main" id="{1CD5762A-02F9-403F-9B3A-A41161A0A2E9}"/>
            </a:ext>
          </a:extLst>
        </xdr:cNvPr>
        <xdr:cNvSpPr/>
      </xdr:nvSpPr>
      <xdr:spPr>
        <a:xfrm rot="19364987">
          <a:off x="6632221" y="3266721"/>
          <a:ext cx="776113" cy="1820335"/>
        </a:xfrm>
        <a:prstGeom prst="flowChartMerge">
          <a:avLst/>
        </a:prstGeom>
        <a:gradFill>
          <a:gsLst>
            <a:gs pos="0">
              <a:srgbClr val="F86EB0"/>
            </a:gs>
            <a:gs pos="41000">
              <a:srgbClr val="9947F7"/>
            </a:gs>
          </a:gsLst>
          <a:path path="circle">
            <a:fillToRect l="100000" t="10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clientData/>
  </xdr:twoCellAnchor>
  <xdr:twoCellAnchor>
    <xdr:from>
      <xdr:col>6</xdr:col>
      <xdr:colOff>63500</xdr:colOff>
      <xdr:row>0</xdr:row>
      <xdr:rowOff>141111</xdr:rowOff>
    </xdr:from>
    <xdr:to>
      <xdr:col>17</xdr:col>
      <xdr:colOff>592666</xdr:colOff>
      <xdr:row>32</xdr:row>
      <xdr:rowOff>183444</xdr:rowOff>
    </xdr:to>
    <xdr:graphicFrame macro="">
      <xdr:nvGraphicFramePr>
        <xdr:cNvPr id="47" name="Chart 46">
          <a:extLst>
            <a:ext uri="{FF2B5EF4-FFF2-40B4-BE49-F238E27FC236}">
              <a16:creationId xmlns:a16="http://schemas.microsoft.com/office/drawing/2014/main" id="{AC33663C-6837-442C-8B89-5810910259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649108</xdr:colOff>
      <xdr:row>15</xdr:row>
      <xdr:rowOff>7055</xdr:rowOff>
    </xdr:from>
    <xdr:to>
      <xdr:col>10</xdr:col>
      <xdr:colOff>176389</xdr:colOff>
      <xdr:row>17</xdr:row>
      <xdr:rowOff>14108</xdr:rowOff>
    </xdr:to>
    <xdr:sp macro="" textlink="">
      <xdr:nvSpPr>
        <xdr:cNvPr id="43" name="TextBox 42">
          <a:extLst>
            <a:ext uri="{FF2B5EF4-FFF2-40B4-BE49-F238E27FC236}">
              <a16:creationId xmlns:a16="http://schemas.microsoft.com/office/drawing/2014/main" id="{AE1D0C07-97F2-4978-84E4-6183DC3596F8}"/>
            </a:ext>
          </a:extLst>
        </xdr:cNvPr>
        <xdr:cNvSpPr txBox="1"/>
      </xdr:nvSpPr>
      <xdr:spPr>
        <a:xfrm>
          <a:off x="5242275" y="2998611"/>
          <a:ext cx="1495781" cy="4021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tx1"/>
              </a:solidFill>
              <a:latin typeface="Avenir Next LT Pro Light" panose="020B0304020202020204" pitchFamily="34" charset="0"/>
            </a:rPr>
            <a:t>Revenue</a:t>
          </a:r>
        </a:p>
      </xdr:txBody>
    </xdr:sp>
    <xdr:clientData/>
  </xdr:twoCellAnchor>
  <xdr:twoCellAnchor>
    <xdr:from>
      <xdr:col>13</xdr:col>
      <xdr:colOff>455786</xdr:colOff>
      <xdr:row>15</xdr:row>
      <xdr:rowOff>32455</xdr:rowOff>
    </xdr:from>
    <xdr:to>
      <xdr:col>15</xdr:col>
      <xdr:colOff>646289</xdr:colOff>
      <xdr:row>17</xdr:row>
      <xdr:rowOff>39508</xdr:rowOff>
    </xdr:to>
    <xdr:sp macro="" textlink="">
      <xdr:nvSpPr>
        <xdr:cNvPr id="44" name="TextBox 43">
          <a:extLst>
            <a:ext uri="{FF2B5EF4-FFF2-40B4-BE49-F238E27FC236}">
              <a16:creationId xmlns:a16="http://schemas.microsoft.com/office/drawing/2014/main" id="{C04B4625-BD93-43E5-A7AE-CC7D87C8CEB0}"/>
            </a:ext>
          </a:extLst>
        </xdr:cNvPr>
        <xdr:cNvSpPr txBox="1"/>
      </xdr:nvSpPr>
      <xdr:spPr>
        <a:xfrm>
          <a:off x="8985953" y="3024011"/>
          <a:ext cx="1502836" cy="4021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tx1"/>
              </a:solidFill>
              <a:latin typeface="Avenir Next LT Pro Light" panose="020B0304020202020204" pitchFamily="34" charset="0"/>
            </a:rPr>
            <a:t>Cost</a:t>
          </a:r>
        </a:p>
      </xdr:txBody>
    </xdr:sp>
    <xdr:clientData/>
  </xdr:twoCellAnchor>
  <xdr:twoCellAnchor>
    <xdr:from>
      <xdr:col>8</xdr:col>
      <xdr:colOff>388057</xdr:colOff>
      <xdr:row>22</xdr:row>
      <xdr:rowOff>162277</xdr:rowOff>
    </xdr:from>
    <xdr:to>
      <xdr:col>13</xdr:col>
      <xdr:colOff>409222</xdr:colOff>
      <xdr:row>33</xdr:row>
      <xdr:rowOff>42332</xdr:rowOff>
    </xdr:to>
    <xdr:graphicFrame macro="">
      <xdr:nvGraphicFramePr>
        <xdr:cNvPr id="45" name="Chart 44">
          <a:extLst>
            <a:ext uri="{FF2B5EF4-FFF2-40B4-BE49-F238E27FC236}">
              <a16:creationId xmlns:a16="http://schemas.microsoft.com/office/drawing/2014/main" id="{831E5210-7891-4905-A67B-3839093BB6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74787</xdr:colOff>
      <xdr:row>24</xdr:row>
      <xdr:rowOff>134055</xdr:rowOff>
    </xdr:from>
    <xdr:to>
      <xdr:col>12</xdr:col>
      <xdr:colOff>402167</xdr:colOff>
      <xdr:row>26</xdr:row>
      <xdr:rowOff>11286</xdr:rowOff>
    </xdr:to>
    <xdr:sp macro="" textlink="">
      <xdr:nvSpPr>
        <xdr:cNvPr id="49" name="TextBox 48">
          <a:extLst>
            <a:ext uri="{FF2B5EF4-FFF2-40B4-BE49-F238E27FC236}">
              <a16:creationId xmlns:a16="http://schemas.microsoft.com/office/drawing/2014/main" id="{BADEE8E1-0611-476F-BFD2-D57E64FC0BBD}"/>
            </a:ext>
          </a:extLst>
        </xdr:cNvPr>
        <xdr:cNvSpPr txBox="1"/>
      </xdr:nvSpPr>
      <xdr:spPr>
        <a:xfrm>
          <a:off x="7292620" y="4903611"/>
          <a:ext cx="983547" cy="272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solidFill>
              <a:latin typeface="Avenir Next LT Pro Light" panose="020B0304020202020204" pitchFamily="34" charset="0"/>
            </a:rPr>
            <a:t>Profit</a:t>
          </a:r>
        </a:p>
      </xdr:txBody>
    </xdr:sp>
    <xdr:clientData/>
  </xdr:twoCellAnchor>
  <xdr:twoCellAnchor>
    <xdr:from>
      <xdr:col>0</xdr:col>
      <xdr:colOff>402161</xdr:colOff>
      <xdr:row>3</xdr:row>
      <xdr:rowOff>70553</xdr:rowOff>
    </xdr:from>
    <xdr:to>
      <xdr:col>6</xdr:col>
      <xdr:colOff>228497</xdr:colOff>
      <xdr:row>7</xdr:row>
      <xdr:rowOff>181357</xdr:rowOff>
    </xdr:to>
    <xdr:sp macro="" textlink="">
      <xdr:nvSpPr>
        <xdr:cNvPr id="19" name="TextBox 18">
          <a:extLst>
            <a:ext uri="{FF2B5EF4-FFF2-40B4-BE49-F238E27FC236}">
              <a16:creationId xmlns:a16="http://schemas.microsoft.com/office/drawing/2014/main" id="{57E260E7-5575-4C75-AA79-51BE035BB89C}"/>
            </a:ext>
          </a:extLst>
        </xdr:cNvPr>
        <xdr:cNvSpPr txBox="1"/>
      </xdr:nvSpPr>
      <xdr:spPr>
        <a:xfrm>
          <a:off x="402161" y="663220"/>
          <a:ext cx="3805669" cy="901026"/>
        </a:xfrm>
        <a:prstGeom prst="rect">
          <a:avLst/>
        </a:prstGeom>
        <a:noFill/>
        <a:ln w="9525" cmpd="sng">
          <a:noFill/>
        </a:ln>
        <a:effectLst>
          <a:glow rad="63500">
            <a:schemeClr val="accent3">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aseline="0">
              <a:ln>
                <a:noFill/>
              </a:ln>
              <a:solidFill>
                <a:srgbClr val="98F8F2"/>
              </a:solidFill>
              <a:effectLst>
                <a:glow rad="177800">
                  <a:srgbClr val="194AFE">
                    <a:alpha val="55000"/>
                  </a:srgbClr>
                </a:glow>
              </a:effectLst>
              <a:latin typeface="Amasis MT Pro Black" panose="020F0502020204030204" pitchFamily="18" charset="0"/>
            </a:rPr>
            <a:t>Visualizing cost of production and potential returns for Texan Feedlots</a:t>
          </a:r>
          <a:endParaRPr lang="en-US" sz="1600">
            <a:ln>
              <a:noFill/>
            </a:ln>
            <a:solidFill>
              <a:srgbClr val="98F8F2"/>
            </a:solidFill>
            <a:effectLst>
              <a:glow rad="177800">
                <a:srgbClr val="194AFE">
                  <a:alpha val="55000"/>
                </a:srgbClr>
              </a:glow>
            </a:effectLst>
            <a:latin typeface="Amasis MT Pro Black" panose="020F0502020204030204" pitchFamily="18" charset="0"/>
          </a:endParaRPr>
        </a:p>
      </xdr:txBody>
    </xdr:sp>
    <xdr:clientData/>
  </xdr:twoCellAnchor>
  <xdr:twoCellAnchor>
    <xdr:from>
      <xdr:col>0</xdr:col>
      <xdr:colOff>571495</xdr:colOff>
      <xdr:row>30</xdr:row>
      <xdr:rowOff>119940</xdr:rowOff>
    </xdr:from>
    <xdr:to>
      <xdr:col>4</xdr:col>
      <xdr:colOff>143143</xdr:colOff>
      <xdr:row>32</xdr:row>
      <xdr:rowOff>98773</xdr:rowOff>
    </xdr:to>
    <xdr:sp macro="" textlink="">
      <xdr:nvSpPr>
        <xdr:cNvPr id="25" name="TextBox 24">
          <a:extLst>
            <a:ext uri="{FF2B5EF4-FFF2-40B4-BE49-F238E27FC236}">
              <a16:creationId xmlns:a16="http://schemas.microsoft.com/office/drawing/2014/main" id="{00FC19C7-579B-4DF9-8D08-5A9CC4879A27}"/>
            </a:ext>
          </a:extLst>
        </xdr:cNvPr>
        <xdr:cNvSpPr txBox="1"/>
      </xdr:nvSpPr>
      <xdr:spPr>
        <a:xfrm>
          <a:off x="571495" y="6074829"/>
          <a:ext cx="2196315" cy="373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chemeClr val="bg1"/>
              </a:solidFill>
              <a:latin typeface="Avenir Next LT Pro Light" panose="020B0304020202020204" pitchFamily="34" charset="0"/>
            </a:rPr>
            <a:t>Cost Components</a:t>
          </a:r>
        </a:p>
      </xdr:txBody>
    </xdr:sp>
    <xdr:clientData/>
  </xdr:twoCellAnchor>
  <xdr:twoCellAnchor>
    <xdr:from>
      <xdr:col>0</xdr:col>
      <xdr:colOff>572626</xdr:colOff>
      <xdr:row>32</xdr:row>
      <xdr:rowOff>49378</xdr:rowOff>
    </xdr:from>
    <xdr:to>
      <xdr:col>5</xdr:col>
      <xdr:colOff>302950</xdr:colOff>
      <xdr:row>41</xdr:row>
      <xdr:rowOff>160376</xdr:rowOff>
    </xdr:to>
    <xdr:grpSp>
      <xdr:nvGrpSpPr>
        <xdr:cNvPr id="26" name="Group 25">
          <a:extLst>
            <a:ext uri="{FF2B5EF4-FFF2-40B4-BE49-F238E27FC236}">
              <a16:creationId xmlns:a16="http://schemas.microsoft.com/office/drawing/2014/main" id="{76D2F1B7-5993-44C4-A08B-2503B6D517AC}"/>
            </a:ext>
          </a:extLst>
        </xdr:cNvPr>
        <xdr:cNvGrpSpPr/>
      </xdr:nvGrpSpPr>
      <xdr:grpSpPr>
        <a:xfrm>
          <a:off x="572626" y="6493124"/>
          <a:ext cx="3039008" cy="1922085"/>
          <a:chOff x="330197" y="5792611"/>
          <a:chExt cx="3335679" cy="2453923"/>
        </a:xfrm>
      </xdr:grpSpPr>
      <xdr:grpSp>
        <xdr:nvGrpSpPr>
          <xdr:cNvPr id="34" name="Group 33">
            <a:extLst>
              <a:ext uri="{FF2B5EF4-FFF2-40B4-BE49-F238E27FC236}">
                <a16:creationId xmlns:a16="http://schemas.microsoft.com/office/drawing/2014/main" id="{9F78AC1C-7103-5947-9BB9-8D3FF4932605}"/>
              </a:ext>
            </a:extLst>
          </xdr:cNvPr>
          <xdr:cNvGrpSpPr/>
        </xdr:nvGrpSpPr>
        <xdr:grpSpPr>
          <a:xfrm>
            <a:off x="509411" y="5842000"/>
            <a:ext cx="1444978" cy="2389010"/>
            <a:chOff x="509411" y="5842000"/>
            <a:chExt cx="2034822" cy="2389010"/>
          </a:xfrm>
        </xdr:grpSpPr>
        <xdr:grpSp>
          <xdr:nvGrpSpPr>
            <xdr:cNvPr id="66" name="Group 65">
              <a:extLst>
                <a:ext uri="{FF2B5EF4-FFF2-40B4-BE49-F238E27FC236}">
                  <a16:creationId xmlns:a16="http://schemas.microsoft.com/office/drawing/2014/main" id="{750E8179-A8BB-F51E-8A0D-BF1081C293F4}"/>
                </a:ext>
              </a:extLst>
            </xdr:cNvPr>
            <xdr:cNvGrpSpPr/>
          </xdr:nvGrpSpPr>
          <xdr:grpSpPr>
            <a:xfrm>
              <a:off x="509411" y="5842000"/>
              <a:ext cx="2034822" cy="1948745"/>
              <a:chOff x="255411" y="5898444"/>
              <a:chExt cx="2034822" cy="1948745"/>
            </a:xfrm>
          </xdr:grpSpPr>
          <xdr:sp macro="" textlink="'Pivot Tables'!H4">
            <xdr:nvSpPr>
              <xdr:cNvPr id="68" name="TextBox 67">
                <a:extLst>
                  <a:ext uri="{FF2B5EF4-FFF2-40B4-BE49-F238E27FC236}">
                    <a16:creationId xmlns:a16="http://schemas.microsoft.com/office/drawing/2014/main" id="{FAAE23CC-267B-C2A1-BDAC-D3B9BA88225F}"/>
                  </a:ext>
                </a:extLst>
              </xdr:cNvPr>
              <xdr:cNvSpPr txBox="1"/>
            </xdr:nvSpPr>
            <xdr:spPr>
              <a:xfrm>
                <a:off x="255411" y="5898444"/>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162D326-84DC-4FB1-9FE6-249485EDAA07}" type="TxLink">
                  <a:rPr lang="en-US" sz="1100" b="0" i="0" u="none" strike="noStrike">
                    <a:solidFill>
                      <a:schemeClr val="bg1"/>
                    </a:solidFill>
                    <a:latin typeface="Avenir Next LT Pro Light" panose="020B0304020202020204" pitchFamily="34" charset="0"/>
                    <a:ea typeface="Calibri"/>
                    <a:cs typeface="Calibri"/>
                  </a:rPr>
                  <a:pPr/>
                  <a:t>Feed</a:t>
                </a:fld>
                <a:endParaRPr lang="en-US" sz="1600">
                  <a:solidFill>
                    <a:schemeClr val="bg1"/>
                  </a:solidFill>
                  <a:latin typeface="Avenir Next LT Pro Light" panose="020B0304020202020204" pitchFamily="34" charset="0"/>
                </a:endParaRPr>
              </a:p>
            </xdr:txBody>
          </xdr:sp>
          <xdr:sp macro="" textlink="'Pivot Tables'!H5">
            <xdr:nvSpPr>
              <xdr:cNvPr id="69" name="TextBox 68">
                <a:extLst>
                  <a:ext uri="{FF2B5EF4-FFF2-40B4-BE49-F238E27FC236}">
                    <a16:creationId xmlns:a16="http://schemas.microsoft.com/office/drawing/2014/main" id="{5DD8CD54-5584-99DC-3CD8-EA845085B5C2}"/>
                  </a:ext>
                </a:extLst>
              </xdr:cNvPr>
              <xdr:cNvSpPr txBox="1"/>
            </xdr:nvSpPr>
            <xdr:spPr>
              <a:xfrm>
                <a:off x="255411" y="6290380"/>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151B6C5-0570-49AE-86EC-DAE670F8E459}" type="TxLink">
                  <a:rPr lang="en-US" sz="1200" b="0" i="0" u="none" strike="noStrike">
                    <a:solidFill>
                      <a:schemeClr val="bg1"/>
                    </a:solidFill>
                    <a:latin typeface="Calibri"/>
                    <a:ea typeface="Calibri"/>
                    <a:cs typeface="Calibri"/>
                  </a:rPr>
                  <a:pPr/>
                  <a:t>Feeder Cattle</a:t>
                </a:fld>
                <a:endParaRPr lang="en-US" sz="1600">
                  <a:solidFill>
                    <a:schemeClr val="bg1"/>
                  </a:solidFill>
                  <a:latin typeface="Avenir Next LT Pro Light" panose="020B0304020202020204" pitchFamily="34" charset="0"/>
                </a:endParaRPr>
              </a:p>
            </xdr:txBody>
          </xdr:sp>
          <xdr:sp macro="" textlink="'Pivot Tables'!H6">
            <xdr:nvSpPr>
              <xdr:cNvPr id="70" name="TextBox 69">
                <a:extLst>
                  <a:ext uri="{FF2B5EF4-FFF2-40B4-BE49-F238E27FC236}">
                    <a16:creationId xmlns:a16="http://schemas.microsoft.com/office/drawing/2014/main" id="{EBEAA88B-F71C-D38C-9436-7458E709741C}"/>
                  </a:ext>
                </a:extLst>
              </xdr:cNvPr>
              <xdr:cNvSpPr txBox="1"/>
            </xdr:nvSpPr>
            <xdr:spPr>
              <a:xfrm>
                <a:off x="255411" y="6682316"/>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45078B7-F1C7-4AFE-B93D-15CFD978C746}" type="TxLink">
                  <a:rPr lang="en-US" sz="1200" b="0" i="0" u="none" strike="noStrike">
                    <a:solidFill>
                      <a:schemeClr val="bg1"/>
                    </a:solidFill>
                    <a:latin typeface="Calibri"/>
                    <a:ea typeface="Calibri"/>
                    <a:cs typeface="Calibri"/>
                  </a:rPr>
                  <a:pPr/>
                  <a:t>Fixed</a:t>
                </a:fld>
                <a:endParaRPr lang="en-US" sz="1600">
                  <a:solidFill>
                    <a:schemeClr val="bg1"/>
                  </a:solidFill>
                  <a:latin typeface="Avenir Next LT Pro Light" panose="020B0304020202020204" pitchFamily="34" charset="0"/>
                </a:endParaRPr>
              </a:p>
            </xdr:txBody>
          </xdr:sp>
          <xdr:sp macro="" textlink="'Pivot Tables'!H7">
            <xdr:nvSpPr>
              <xdr:cNvPr id="71" name="TextBox 70">
                <a:extLst>
                  <a:ext uri="{FF2B5EF4-FFF2-40B4-BE49-F238E27FC236}">
                    <a16:creationId xmlns:a16="http://schemas.microsoft.com/office/drawing/2014/main" id="{9D8A5FE5-0DB6-1EF1-535C-10C3D0259406}"/>
                  </a:ext>
                </a:extLst>
              </xdr:cNvPr>
              <xdr:cNvSpPr txBox="1"/>
            </xdr:nvSpPr>
            <xdr:spPr>
              <a:xfrm>
                <a:off x="255411" y="7074252"/>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5444C92-7E31-43C4-BADA-26F927EC0206}" type="TxLink">
                  <a:rPr lang="en-US" sz="1200" b="0" i="0" u="none" strike="noStrike">
                    <a:solidFill>
                      <a:schemeClr val="bg1"/>
                    </a:solidFill>
                    <a:latin typeface="Calibri"/>
                    <a:ea typeface="Calibri"/>
                    <a:cs typeface="Calibri"/>
                  </a:rPr>
                  <a:pPr/>
                  <a:t>Interest</a:t>
                </a:fld>
                <a:endParaRPr lang="en-US" sz="1600">
                  <a:solidFill>
                    <a:schemeClr val="bg1"/>
                  </a:solidFill>
                  <a:latin typeface="Avenir Next LT Pro Light" panose="020B0304020202020204" pitchFamily="34" charset="0"/>
                </a:endParaRPr>
              </a:p>
            </xdr:txBody>
          </xdr:sp>
          <xdr:sp macro="" textlink="'Pivot Tables'!H8">
            <xdr:nvSpPr>
              <xdr:cNvPr id="72" name="TextBox 71">
                <a:extLst>
                  <a:ext uri="{FF2B5EF4-FFF2-40B4-BE49-F238E27FC236}">
                    <a16:creationId xmlns:a16="http://schemas.microsoft.com/office/drawing/2014/main" id="{C0280BA3-7BBB-14C8-08F9-E822313C0BF5}"/>
                  </a:ext>
                </a:extLst>
              </xdr:cNvPr>
              <xdr:cNvSpPr txBox="1"/>
            </xdr:nvSpPr>
            <xdr:spPr>
              <a:xfrm>
                <a:off x="255411" y="7466189"/>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268BBC7-2B77-4D8B-A857-7064D3DE4F6E}" type="TxLink">
                  <a:rPr lang="en-US" sz="1200" b="0" i="0" u="none" strike="noStrike">
                    <a:solidFill>
                      <a:schemeClr val="bg1"/>
                    </a:solidFill>
                    <a:latin typeface="Calibri"/>
                    <a:ea typeface="Calibri"/>
                    <a:cs typeface="Calibri"/>
                  </a:rPr>
                  <a:pPr/>
                  <a:t>Labour</a:t>
                </a:fld>
                <a:endParaRPr lang="en-US" sz="1600">
                  <a:solidFill>
                    <a:schemeClr val="bg1"/>
                  </a:solidFill>
                  <a:latin typeface="Avenir Next LT Pro Light" panose="020B0304020202020204" pitchFamily="34" charset="0"/>
                </a:endParaRPr>
              </a:p>
            </xdr:txBody>
          </xdr:sp>
        </xdr:grpSp>
        <xdr:sp macro="" textlink="'Pivot Tables'!H9">
          <xdr:nvSpPr>
            <xdr:cNvPr id="67" name="TextBox 66">
              <a:extLst>
                <a:ext uri="{FF2B5EF4-FFF2-40B4-BE49-F238E27FC236}">
                  <a16:creationId xmlns:a16="http://schemas.microsoft.com/office/drawing/2014/main" id="{3C39BBFD-DB3C-F505-8C43-387F3B49A4BC}"/>
                </a:ext>
              </a:extLst>
            </xdr:cNvPr>
            <xdr:cNvSpPr txBox="1"/>
          </xdr:nvSpPr>
          <xdr:spPr>
            <a:xfrm>
              <a:off x="509411" y="7850010"/>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897C9E9-F09F-4AD6-9CBB-3CE1326EAD05}" type="TxLink">
                <a:rPr lang="en-US" sz="1200" b="0" i="0" u="none" strike="noStrike">
                  <a:solidFill>
                    <a:schemeClr val="bg1"/>
                  </a:solidFill>
                  <a:latin typeface="Calibri"/>
                  <a:ea typeface="Calibri"/>
                  <a:cs typeface="Calibri"/>
                </a:rPr>
                <a:pPr/>
                <a:t>Other Operations</a:t>
              </a:fld>
              <a:endParaRPr lang="en-US" sz="1600">
                <a:solidFill>
                  <a:schemeClr val="bg1"/>
                </a:solidFill>
                <a:latin typeface="Avenir Next LT Pro Light" panose="020B0304020202020204" pitchFamily="34" charset="0"/>
              </a:endParaRPr>
            </a:p>
          </xdr:txBody>
        </xdr:sp>
      </xdr:grpSp>
      <xdr:grpSp>
        <xdr:nvGrpSpPr>
          <xdr:cNvPr id="35" name="Group 34">
            <a:extLst>
              <a:ext uri="{FF2B5EF4-FFF2-40B4-BE49-F238E27FC236}">
                <a16:creationId xmlns:a16="http://schemas.microsoft.com/office/drawing/2014/main" id="{CECEEE46-8409-D4BE-F2C2-890F5FABB9DF}"/>
              </a:ext>
            </a:extLst>
          </xdr:cNvPr>
          <xdr:cNvGrpSpPr/>
        </xdr:nvGrpSpPr>
        <xdr:grpSpPr>
          <a:xfrm>
            <a:off x="1684864" y="5846235"/>
            <a:ext cx="558803" cy="2389010"/>
            <a:chOff x="509411" y="5842000"/>
            <a:chExt cx="2034822" cy="2389010"/>
          </a:xfrm>
        </xdr:grpSpPr>
        <xdr:grpSp>
          <xdr:nvGrpSpPr>
            <xdr:cNvPr id="59" name="Group 58">
              <a:extLst>
                <a:ext uri="{FF2B5EF4-FFF2-40B4-BE49-F238E27FC236}">
                  <a16:creationId xmlns:a16="http://schemas.microsoft.com/office/drawing/2014/main" id="{1E2D7FB5-7200-299D-7964-9AC257752A32}"/>
                </a:ext>
              </a:extLst>
            </xdr:cNvPr>
            <xdr:cNvGrpSpPr/>
          </xdr:nvGrpSpPr>
          <xdr:grpSpPr>
            <a:xfrm>
              <a:off x="509411" y="5842000"/>
              <a:ext cx="2034822" cy="1948745"/>
              <a:chOff x="255411" y="5898444"/>
              <a:chExt cx="2034822" cy="1948745"/>
            </a:xfrm>
          </xdr:grpSpPr>
          <xdr:sp macro="" textlink="'Pivot Tables'!O4">
            <xdr:nvSpPr>
              <xdr:cNvPr id="61" name="TextBox 60">
                <a:extLst>
                  <a:ext uri="{FF2B5EF4-FFF2-40B4-BE49-F238E27FC236}">
                    <a16:creationId xmlns:a16="http://schemas.microsoft.com/office/drawing/2014/main" id="{36B28B5E-6C6D-CB34-6A13-CB9AB230447B}"/>
                  </a:ext>
                </a:extLst>
              </xdr:cNvPr>
              <xdr:cNvSpPr txBox="1"/>
            </xdr:nvSpPr>
            <xdr:spPr>
              <a:xfrm>
                <a:off x="255411" y="5898444"/>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616E644-5938-4AD8-AFCB-ED66D8B5A0E2}" type="TxLink">
                  <a:rPr lang="en-US" sz="1200" b="0" i="0" u="none" strike="noStrike">
                    <a:solidFill>
                      <a:schemeClr val="bg1"/>
                    </a:solidFill>
                    <a:latin typeface="Calibri"/>
                    <a:ea typeface="Calibri"/>
                    <a:cs typeface="Calibri"/>
                  </a:rPr>
                  <a:pPr algn="ctr"/>
                  <a:t>2%</a:t>
                </a:fld>
                <a:endParaRPr lang="en-US" sz="1600">
                  <a:solidFill>
                    <a:schemeClr val="bg1"/>
                  </a:solidFill>
                  <a:latin typeface="Avenir Next LT Pro Light" panose="020B0304020202020204" pitchFamily="34" charset="0"/>
                </a:endParaRPr>
              </a:p>
            </xdr:txBody>
          </xdr:sp>
          <xdr:sp macro="" textlink="'Pivot Tables'!O5">
            <xdr:nvSpPr>
              <xdr:cNvPr id="62" name="TextBox 61">
                <a:extLst>
                  <a:ext uri="{FF2B5EF4-FFF2-40B4-BE49-F238E27FC236}">
                    <a16:creationId xmlns:a16="http://schemas.microsoft.com/office/drawing/2014/main" id="{51F2A193-41D6-772E-A0E3-8C8B4B862096}"/>
                  </a:ext>
                </a:extLst>
              </xdr:cNvPr>
              <xdr:cNvSpPr txBox="1"/>
            </xdr:nvSpPr>
            <xdr:spPr>
              <a:xfrm>
                <a:off x="255411" y="6290380"/>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F807E53-8FDB-4902-8FE8-8D1110DD6647}" type="TxLink">
                  <a:rPr lang="en-US" sz="1200" b="0" i="0" u="none" strike="noStrike">
                    <a:solidFill>
                      <a:schemeClr val="bg1"/>
                    </a:solidFill>
                    <a:latin typeface="Calibri"/>
                    <a:ea typeface="Calibri"/>
                    <a:cs typeface="Calibri"/>
                  </a:rPr>
                  <a:pPr algn="ctr"/>
                  <a:t>86%</a:t>
                </a:fld>
                <a:endParaRPr lang="en-US" sz="1600">
                  <a:solidFill>
                    <a:schemeClr val="bg1"/>
                  </a:solidFill>
                  <a:latin typeface="Avenir Next LT Pro Light" panose="020B0304020202020204" pitchFamily="34" charset="0"/>
                </a:endParaRPr>
              </a:p>
            </xdr:txBody>
          </xdr:sp>
          <xdr:sp macro="" textlink="'Pivot Tables'!O6">
            <xdr:nvSpPr>
              <xdr:cNvPr id="63" name="TextBox 62">
                <a:extLst>
                  <a:ext uri="{FF2B5EF4-FFF2-40B4-BE49-F238E27FC236}">
                    <a16:creationId xmlns:a16="http://schemas.microsoft.com/office/drawing/2014/main" id="{38A4DE2C-FEFC-CA12-8F0B-F4C6B8F2DA34}"/>
                  </a:ext>
                </a:extLst>
              </xdr:cNvPr>
              <xdr:cNvSpPr txBox="1"/>
            </xdr:nvSpPr>
            <xdr:spPr>
              <a:xfrm>
                <a:off x="255411" y="6682316"/>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D13D558-72A0-40E6-9A12-70DDD4638CDE}" type="TxLink">
                  <a:rPr lang="en-US" sz="1200" b="0" i="0" u="none" strike="noStrike">
                    <a:solidFill>
                      <a:schemeClr val="bg1"/>
                    </a:solidFill>
                    <a:latin typeface="Calibri"/>
                    <a:ea typeface="Calibri"/>
                    <a:cs typeface="Calibri"/>
                  </a:rPr>
                  <a:pPr algn="ctr"/>
                  <a:t>0%</a:t>
                </a:fld>
                <a:endParaRPr lang="en-US" sz="1600">
                  <a:solidFill>
                    <a:schemeClr val="bg1"/>
                  </a:solidFill>
                  <a:latin typeface="Avenir Next LT Pro Light" panose="020B0304020202020204" pitchFamily="34" charset="0"/>
                </a:endParaRPr>
              </a:p>
            </xdr:txBody>
          </xdr:sp>
          <xdr:sp macro="" textlink="'Pivot Tables'!O7">
            <xdr:nvSpPr>
              <xdr:cNvPr id="64" name="TextBox 63">
                <a:extLst>
                  <a:ext uri="{FF2B5EF4-FFF2-40B4-BE49-F238E27FC236}">
                    <a16:creationId xmlns:a16="http://schemas.microsoft.com/office/drawing/2014/main" id="{D0179B45-D54F-2875-4EE9-768DCE38E3DF}"/>
                  </a:ext>
                </a:extLst>
              </xdr:cNvPr>
              <xdr:cNvSpPr txBox="1"/>
            </xdr:nvSpPr>
            <xdr:spPr>
              <a:xfrm>
                <a:off x="255411" y="7074252"/>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9A6B8C1-35F6-46C5-B87C-A48455F61A23}" type="TxLink">
                  <a:rPr lang="en-US" sz="1200" b="0" i="0" u="none" strike="noStrike">
                    <a:solidFill>
                      <a:schemeClr val="bg1"/>
                    </a:solidFill>
                    <a:latin typeface="Calibri"/>
                    <a:ea typeface="Calibri"/>
                    <a:cs typeface="Calibri"/>
                  </a:rPr>
                  <a:pPr algn="ctr"/>
                  <a:t>4%</a:t>
                </a:fld>
                <a:endParaRPr lang="en-US" sz="1600">
                  <a:solidFill>
                    <a:schemeClr val="bg1"/>
                  </a:solidFill>
                  <a:latin typeface="Avenir Next LT Pro Light" panose="020B0304020202020204" pitchFamily="34" charset="0"/>
                </a:endParaRPr>
              </a:p>
            </xdr:txBody>
          </xdr:sp>
          <xdr:sp macro="" textlink="'Pivot Tables'!O8">
            <xdr:nvSpPr>
              <xdr:cNvPr id="65" name="TextBox 64">
                <a:extLst>
                  <a:ext uri="{FF2B5EF4-FFF2-40B4-BE49-F238E27FC236}">
                    <a16:creationId xmlns:a16="http://schemas.microsoft.com/office/drawing/2014/main" id="{83FDA532-D82D-7B4D-779E-FF6A19F38C86}"/>
                  </a:ext>
                </a:extLst>
              </xdr:cNvPr>
              <xdr:cNvSpPr txBox="1"/>
            </xdr:nvSpPr>
            <xdr:spPr>
              <a:xfrm>
                <a:off x="255411" y="7466189"/>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B039CE6-C030-4231-B92F-6AFEBEE05877}" type="TxLink">
                  <a:rPr lang="en-US" sz="1200" b="0" i="0" u="none" strike="noStrike">
                    <a:solidFill>
                      <a:schemeClr val="bg1"/>
                    </a:solidFill>
                    <a:latin typeface="Calibri"/>
                    <a:ea typeface="Calibri"/>
                    <a:cs typeface="Calibri"/>
                  </a:rPr>
                  <a:pPr algn="ctr"/>
                  <a:t>2%</a:t>
                </a:fld>
                <a:endParaRPr lang="en-US" sz="1600">
                  <a:solidFill>
                    <a:schemeClr val="bg1"/>
                  </a:solidFill>
                  <a:latin typeface="Avenir Next LT Pro Light" panose="020B0304020202020204" pitchFamily="34" charset="0"/>
                </a:endParaRPr>
              </a:p>
            </xdr:txBody>
          </xdr:sp>
        </xdr:grpSp>
        <xdr:sp macro="" textlink="'Pivot Tables'!O9">
          <xdr:nvSpPr>
            <xdr:cNvPr id="60" name="TextBox 59">
              <a:extLst>
                <a:ext uri="{FF2B5EF4-FFF2-40B4-BE49-F238E27FC236}">
                  <a16:creationId xmlns:a16="http://schemas.microsoft.com/office/drawing/2014/main" id="{71B3916B-3B32-C15D-6B21-CEDE5AB79AF9}"/>
                </a:ext>
              </a:extLst>
            </xdr:cNvPr>
            <xdr:cNvSpPr txBox="1"/>
          </xdr:nvSpPr>
          <xdr:spPr>
            <a:xfrm>
              <a:off x="509411" y="7850010"/>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BB78CCC-889F-44B6-8F20-2DF208FC6CAF}" type="TxLink">
                <a:rPr lang="en-US" sz="1200" b="0" i="0" u="none" strike="noStrike">
                  <a:solidFill>
                    <a:schemeClr val="bg1"/>
                  </a:solidFill>
                  <a:latin typeface="Calibri"/>
                  <a:ea typeface="Calibri"/>
                  <a:cs typeface="Calibri"/>
                </a:rPr>
                <a:pPr algn="ctr"/>
                <a:t>5%</a:t>
              </a:fld>
              <a:endParaRPr lang="en-US" sz="1600">
                <a:solidFill>
                  <a:schemeClr val="bg1"/>
                </a:solidFill>
                <a:latin typeface="Avenir Next LT Pro Light" panose="020B0304020202020204" pitchFamily="34" charset="0"/>
              </a:endParaRPr>
            </a:p>
          </xdr:txBody>
        </xdr:sp>
      </xdr:grpSp>
      <xdr:grpSp>
        <xdr:nvGrpSpPr>
          <xdr:cNvPr id="36" name="Group 35">
            <a:extLst>
              <a:ext uri="{FF2B5EF4-FFF2-40B4-BE49-F238E27FC236}">
                <a16:creationId xmlns:a16="http://schemas.microsoft.com/office/drawing/2014/main" id="{3AE0DC97-3873-64EF-2AD8-487484462BD5}"/>
              </a:ext>
            </a:extLst>
          </xdr:cNvPr>
          <xdr:cNvGrpSpPr/>
        </xdr:nvGrpSpPr>
        <xdr:grpSpPr>
          <a:xfrm>
            <a:off x="2149579" y="5857524"/>
            <a:ext cx="1516297" cy="2389010"/>
            <a:chOff x="222097" y="5842000"/>
            <a:chExt cx="3481673" cy="2389010"/>
          </a:xfrm>
        </xdr:grpSpPr>
        <xdr:grpSp>
          <xdr:nvGrpSpPr>
            <xdr:cNvPr id="52" name="Group 51">
              <a:extLst>
                <a:ext uri="{FF2B5EF4-FFF2-40B4-BE49-F238E27FC236}">
                  <a16:creationId xmlns:a16="http://schemas.microsoft.com/office/drawing/2014/main" id="{C8D02F85-7432-DFA7-08CE-7388903703D3}"/>
                </a:ext>
              </a:extLst>
            </xdr:cNvPr>
            <xdr:cNvGrpSpPr/>
          </xdr:nvGrpSpPr>
          <xdr:grpSpPr>
            <a:xfrm>
              <a:off x="222097" y="5842000"/>
              <a:ext cx="3481673" cy="1948745"/>
              <a:chOff x="-31903" y="5898444"/>
              <a:chExt cx="3481673" cy="1948745"/>
            </a:xfrm>
          </xdr:grpSpPr>
          <xdr:sp macro="" textlink="'Pivot Tables'!N4">
            <xdr:nvSpPr>
              <xdr:cNvPr id="54" name="TextBox 53">
                <a:extLst>
                  <a:ext uri="{FF2B5EF4-FFF2-40B4-BE49-F238E27FC236}">
                    <a16:creationId xmlns:a16="http://schemas.microsoft.com/office/drawing/2014/main" id="{785CE48F-F439-D44B-FB98-2AFAEAF504E4}"/>
                  </a:ext>
                </a:extLst>
              </xdr:cNvPr>
              <xdr:cNvSpPr txBox="1"/>
            </xdr:nvSpPr>
            <xdr:spPr>
              <a:xfrm>
                <a:off x="-31903" y="5898444"/>
                <a:ext cx="3481673"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38E5356-6A6C-4F35-9076-226A665F23CB}" type="TxLink">
                  <a:rPr lang="en-US" sz="1200" b="0" i="0" u="none" strike="noStrike">
                    <a:solidFill>
                      <a:schemeClr val="bg1"/>
                    </a:solidFill>
                    <a:latin typeface="Calibri"/>
                    <a:ea typeface="Calibri"/>
                    <a:cs typeface="Calibri"/>
                  </a:rPr>
                  <a:pPr algn="ctr"/>
                  <a:t>$49,605</a:t>
                </a:fld>
                <a:endParaRPr lang="en-US" sz="1600">
                  <a:solidFill>
                    <a:schemeClr val="bg1"/>
                  </a:solidFill>
                  <a:latin typeface="Avenir Next LT Pro Light" panose="020B0304020202020204" pitchFamily="34" charset="0"/>
                </a:endParaRPr>
              </a:p>
            </xdr:txBody>
          </xdr:sp>
          <xdr:sp macro="" textlink="'Pivot Tables'!N5">
            <xdr:nvSpPr>
              <xdr:cNvPr id="55" name="TextBox 54">
                <a:extLst>
                  <a:ext uri="{FF2B5EF4-FFF2-40B4-BE49-F238E27FC236}">
                    <a16:creationId xmlns:a16="http://schemas.microsoft.com/office/drawing/2014/main" id="{933834E5-5B58-8876-D504-0FBE9D4EDA5E}"/>
                  </a:ext>
                </a:extLst>
              </xdr:cNvPr>
              <xdr:cNvSpPr txBox="1"/>
            </xdr:nvSpPr>
            <xdr:spPr>
              <a:xfrm>
                <a:off x="255409" y="6290380"/>
                <a:ext cx="3176944"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8059036-279B-4E15-AB4D-A6D05B573C1C}" type="TxLink">
                  <a:rPr lang="en-US" sz="1200" b="0" i="0" u="none" strike="noStrike">
                    <a:solidFill>
                      <a:schemeClr val="bg1"/>
                    </a:solidFill>
                    <a:latin typeface="Calibri"/>
                    <a:ea typeface="Calibri"/>
                    <a:cs typeface="Calibri"/>
                  </a:rPr>
                  <a:pPr algn="ctr"/>
                  <a:t>$1,835,200</a:t>
                </a:fld>
                <a:endParaRPr lang="en-US" sz="1600">
                  <a:solidFill>
                    <a:schemeClr val="bg1"/>
                  </a:solidFill>
                  <a:latin typeface="Avenir Next LT Pro Light" panose="020B0304020202020204" pitchFamily="34" charset="0"/>
                </a:endParaRPr>
              </a:p>
            </xdr:txBody>
          </xdr:sp>
          <xdr:sp macro="" textlink="'Pivot Tables'!N6">
            <xdr:nvSpPr>
              <xdr:cNvPr id="56" name="TextBox 55">
                <a:extLst>
                  <a:ext uri="{FF2B5EF4-FFF2-40B4-BE49-F238E27FC236}">
                    <a16:creationId xmlns:a16="http://schemas.microsoft.com/office/drawing/2014/main" id="{2B5A3C3F-A6FB-C507-255D-6E78E1E70C92}"/>
                  </a:ext>
                </a:extLst>
              </xdr:cNvPr>
              <xdr:cNvSpPr txBox="1"/>
            </xdr:nvSpPr>
            <xdr:spPr>
              <a:xfrm>
                <a:off x="255409" y="6682316"/>
                <a:ext cx="27241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7D76559-FB33-4A75-9B25-6EF6570B204C}" type="TxLink">
                  <a:rPr lang="en-US" sz="1200" b="0" i="0" u="none" strike="noStrike">
                    <a:solidFill>
                      <a:schemeClr val="bg1"/>
                    </a:solidFill>
                    <a:latin typeface="Calibri"/>
                    <a:ea typeface="Calibri"/>
                    <a:cs typeface="Calibri"/>
                  </a:rPr>
                  <a:pPr algn="ctr"/>
                  <a:t>$10,034</a:t>
                </a:fld>
                <a:endParaRPr lang="en-US" sz="1600">
                  <a:solidFill>
                    <a:schemeClr val="bg1"/>
                  </a:solidFill>
                  <a:latin typeface="Avenir Next LT Pro Light" panose="020B0304020202020204" pitchFamily="34" charset="0"/>
                </a:endParaRPr>
              </a:p>
            </xdr:txBody>
          </xdr:sp>
          <xdr:sp macro="" textlink="'Pivot Tables'!N7">
            <xdr:nvSpPr>
              <xdr:cNvPr id="57" name="TextBox 56">
                <a:extLst>
                  <a:ext uri="{FF2B5EF4-FFF2-40B4-BE49-F238E27FC236}">
                    <a16:creationId xmlns:a16="http://schemas.microsoft.com/office/drawing/2014/main" id="{B3E19518-3652-B2F2-AE09-919B55244615}"/>
                  </a:ext>
                </a:extLst>
              </xdr:cNvPr>
              <xdr:cNvSpPr txBox="1"/>
            </xdr:nvSpPr>
            <xdr:spPr>
              <a:xfrm>
                <a:off x="105853" y="7074252"/>
                <a:ext cx="311750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52303D0-735B-4FCE-B49A-CAD45F49C585}" type="TxLink">
                  <a:rPr lang="en-US" sz="1200" b="0" i="0" u="none" strike="noStrike">
                    <a:solidFill>
                      <a:schemeClr val="bg1"/>
                    </a:solidFill>
                    <a:latin typeface="Calibri"/>
                    <a:ea typeface="Calibri"/>
                    <a:cs typeface="Calibri"/>
                  </a:rPr>
                  <a:pPr algn="ctr"/>
                  <a:t>$78,348</a:t>
                </a:fld>
                <a:endParaRPr lang="en-US" sz="1600">
                  <a:solidFill>
                    <a:schemeClr val="bg1"/>
                  </a:solidFill>
                  <a:latin typeface="Avenir Next LT Pro Light" panose="020B0304020202020204" pitchFamily="34" charset="0"/>
                </a:endParaRPr>
              </a:p>
            </xdr:txBody>
          </xdr:sp>
          <xdr:sp macro="" textlink="'Pivot Tables'!N8">
            <xdr:nvSpPr>
              <xdr:cNvPr id="58" name="TextBox 57">
                <a:extLst>
                  <a:ext uri="{FF2B5EF4-FFF2-40B4-BE49-F238E27FC236}">
                    <a16:creationId xmlns:a16="http://schemas.microsoft.com/office/drawing/2014/main" id="{0A13C908-17B9-51A5-C6B7-B59B92CEFCEF}"/>
                  </a:ext>
                </a:extLst>
              </xdr:cNvPr>
              <xdr:cNvSpPr txBox="1"/>
            </xdr:nvSpPr>
            <xdr:spPr>
              <a:xfrm>
                <a:off x="255411" y="7466189"/>
                <a:ext cx="2741538"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F9B03C8-D358-4CF0-BBD3-1764310A6406}" type="TxLink">
                  <a:rPr lang="en-US" sz="1200" b="0" i="0" u="none" strike="noStrike">
                    <a:solidFill>
                      <a:schemeClr val="bg1"/>
                    </a:solidFill>
                    <a:latin typeface="Calibri"/>
                    <a:ea typeface="Calibri"/>
                    <a:cs typeface="Calibri"/>
                  </a:rPr>
                  <a:pPr algn="ctr"/>
                  <a:t>$40,000</a:t>
                </a:fld>
                <a:endParaRPr lang="en-US" sz="1600">
                  <a:solidFill>
                    <a:schemeClr val="bg1"/>
                  </a:solidFill>
                  <a:latin typeface="Avenir Next LT Pro Light" panose="020B0304020202020204" pitchFamily="34" charset="0"/>
                </a:endParaRPr>
              </a:p>
            </xdr:txBody>
          </xdr:sp>
        </xdr:grpSp>
        <xdr:sp macro="" textlink="'Pivot Tables'!N9">
          <xdr:nvSpPr>
            <xdr:cNvPr id="53" name="TextBox 52">
              <a:extLst>
                <a:ext uri="{FF2B5EF4-FFF2-40B4-BE49-F238E27FC236}">
                  <a16:creationId xmlns:a16="http://schemas.microsoft.com/office/drawing/2014/main" id="{AAEA520D-C87A-520B-6C94-15AEB7CA1654}"/>
                </a:ext>
              </a:extLst>
            </xdr:cNvPr>
            <xdr:cNvSpPr txBox="1"/>
          </xdr:nvSpPr>
          <xdr:spPr>
            <a:xfrm>
              <a:off x="419511" y="7850010"/>
              <a:ext cx="308684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A97110B-5372-428F-ADF0-8AED706DD69F}" type="TxLink">
                <a:rPr lang="en-US" sz="1200" b="0" i="0" u="none" strike="noStrike">
                  <a:solidFill>
                    <a:schemeClr val="bg1"/>
                  </a:solidFill>
                  <a:latin typeface="Calibri"/>
                  <a:ea typeface="Calibri"/>
                  <a:cs typeface="Calibri"/>
                </a:rPr>
                <a:pPr algn="ctr"/>
                <a:t>$111,769</a:t>
              </a:fld>
              <a:endParaRPr lang="en-US" sz="1600">
                <a:solidFill>
                  <a:schemeClr val="bg1"/>
                </a:solidFill>
                <a:latin typeface="Avenir Next LT Pro Light" panose="020B0304020202020204" pitchFamily="34" charset="0"/>
              </a:endParaRPr>
            </a:p>
          </xdr:txBody>
        </xdr:sp>
      </xdr:grpSp>
      <xdr:grpSp>
        <xdr:nvGrpSpPr>
          <xdr:cNvPr id="37" name="Group 36">
            <a:extLst>
              <a:ext uri="{FF2B5EF4-FFF2-40B4-BE49-F238E27FC236}">
                <a16:creationId xmlns:a16="http://schemas.microsoft.com/office/drawing/2014/main" id="{55CA06B0-FBBC-5187-536B-2DDEA093E2BE}"/>
              </a:ext>
            </a:extLst>
          </xdr:cNvPr>
          <xdr:cNvGrpSpPr/>
        </xdr:nvGrpSpPr>
        <xdr:grpSpPr>
          <a:xfrm>
            <a:off x="330197" y="5792611"/>
            <a:ext cx="239893" cy="2333980"/>
            <a:chOff x="330197" y="5792611"/>
            <a:chExt cx="239893" cy="2333980"/>
          </a:xfrm>
        </xdr:grpSpPr>
        <xdr:sp macro="" textlink="'Pivot Tables'!N4">
          <xdr:nvSpPr>
            <xdr:cNvPr id="38" name="TextBox 37">
              <a:extLst>
                <a:ext uri="{FF2B5EF4-FFF2-40B4-BE49-F238E27FC236}">
                  <a16:creationId xmlns:a16="http://schemas.microsoft.com/office/drawing/2014/main" id="{1A32558C-0AE4-2D60-0C6C-6AD68158E5F5}"/>
                </a:ext>
              </a:extLst>
            </xdr:cNvPr>
            <xdr:cNvSpPr txBox="1"/>
          </xdr:nvSpPr>
          <xdr:spPr>
            <a:xfrm>
              <a:off x="330197" y="5792611"/>
              <a:ext cx="239893" cy="3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solidFill>
                    <a:srgbClr val="FF0000"/>
                  </a:solidFill>
                  <a:latin typeface="Avenir Next LT Pro Light" panose="020B0304020202020204" pitchFamily="34" charset="0"/>
                </a:rPr>
                <a:t>•</a:t>
              </a:r>
            </a:p>
          </xdr:txBody>
        </xdr:sp>
        <xdr:sp macro="" textlink="'Pivot Tables'!N4">
          <xdr:nvSpPr>
            <xdr:cNvPr id="39" name="TextBox 38">
              <a:extLst>
                <a:ext uri="{FF2B5EF4-FFF2-40B4-BE49-F238E27FC236}">
                  <a16:creationId xmlns:a16="http://schemas.microsoft.com/office/drawing/2014/main" id="{DEBF2080-523F-6940-A8AE-74532ADC51FC}"/>
                </a:ext>
              </a:extLst>
            </xdr:cNvPr>
            <xdr:cNvSpPr txBox="1"/>
          </xdr:nvSpPr>
          <xdr:spPr>
            <a:xfrm>
              <a:off x="330197" y="6199011"/>
              <a:ext cx="239893" cy="3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solidFill>
                    <a:srgbClr val="FF0000"/>
                  </a:solidFill>
                  <a:latin typeface="Avenir Next LT Pro Light" panose="020B0304020202020204" pitchFamily="34" charset="0"/>
                </a:rPr>
                <a:t>•</a:t>
              </a:r>
            </a:p>
          </xdr:txBody>
        </xdr:sp>
        <xdr:sp macro="" textlink="'Pivot Tables'!N4">
          <xdr:nvSpPr>
            <xdr:cNvPr id="40" name="TextBox 39">
              <a:extLst>
                <a:ext uri="{FF2B5EF4-FFF2-40B4-BE49-F238E27FC236}">
                  <a16:creationId xmlns:a16="http://schemas.microsoft.com/office/drawing/2014/main" id="{6ED53369-C8A5-C5F1-B67D-87629A9B47B2}"/>
                </a:ext>
              </a:extLst>
            </xdr:cNvPr>
            <xdr:cNvSpPr txBox="1"/>
          </xdr:nvSpPr>
          <xdr:spPr>
            <a:xfrm>
              <a:off x="330197" y="6605411"/>
              <a:ext cx="239893" cy="3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solidFill>
                    <a:srgbClr val="FF0000"/>
                  </a:solidFill>
                  <a:latin typeface="Avenir Next LT Pro Light" panose="020B0304020202020204" pitchFamily="34" charset="0"/>
                </a:rPr>
                <a:t>•</a:t>
              </a:r>
            </a:p>
          </xdr:txBody>
        </xdr:sp>
        <xdr:sp macro="" textlink="'Pivot Tables'!N4">
          <xdr:nvSpPr>
            <xdr:cNvPr id="42" name="TextBox 41">
              <a:extLst>
                <a:ext uri="{FF2B5EF4-FFF2-40B4-BE49-F238E27FC236}">
                  <a16:creationId xmlns:a16="http://schemas.microsoft.com/office/drawing/2014/main" id="{D0405651-1948-6BC9-F1E4-95B7540C6B91}"/>
                </a:ext>
              </a:extLst>
            </xdr:cNvPr>
            <xdr:cNvSpPr txBox="1"/>
          </xdr:nvSpPr>
          <xdr:spPr>
            <a:xfrm>
              <a:off x="330197" y="7011811"/>
              <a:ext cx="239893" cy="3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solidFill>
                    <a:srgbClr val="FF0000"/>
                  </a:solidFill>
                  <a:latin typeface="Avenir Next LT Pro Light" panose="020B0304020202020204" pitchFamily="34" charset="0"/>
                </a:rPr>
                <a:t>•</a:t>
              </a:r>
            </a:p>
          </xdr:txBody>
        </xdr:sp>
        <xdr:sp macro="" textlink="'Pivot Tables'!N4">
          <xdr:nvSpPr>
            <xdr:cNvPr id="50" name="TextBox 49">
              <a:extLst>
                <a:ext uri="{FF2B5EF4-FFF2-40B4-BE49-F238E27FC236}">
                  <a16:creationId xmlns:a16="http://schemas.microsoft.com/office/drawing/2014/main" id="{EC635770-9300-9541-DE4C-F09E6445A1F5}"/>
                </a:ext>
              </a:extLst>
            </xdr:cNvPr>
            <xdr:cNvSpPr txBox="1"/>
          </xdr:nvSpPr>
          <xdr:spPr>
            <a:xfrm>
              <a:off x="330197" y="7418211"/>
              <a:ext cx="239893" cy="3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solidFill>
                    <a:srgbClr val="FF0000"/>
                  </a:solidFill>
                  <a:latin typeface="Avenir Next LT Pro Light" panose="020B0304020202020204" pitchFamily="34" charset="0"/>
                </a:rPr>
                <a:t>•</a:t>
              </a:r>
            </a:p>
          </xdr:txBody>
        </xdr:sp>
        <xdr:sp macro="" textlink="'Pivot Tables'!N4">
          <xdr:nvSpPr>
            <xdr:cNvPr id="51" name="TextBox 50">
              <a:extLst>
                <a:ext uri="{FF2B5EF4-FFF2-40B4-BE49-F238E27FC236}">
                  <a16:creationId xmlns:a16="http://schemas.microsoft.com/office/drawing/2014/main" id="{D80560F8-457C-66AC-95B1-D64343D8BD33}"/>
                </a:ext>
              </a:extLst>
            </xdr:cNvPr>
            <xdr:cNvSpPr txBox="1"/>
          </xdr:nvSpPr>
          <xdr:spPr>
            <a:xfrm>
              <a:off x="330197" y="7824611"/>
              <a:ext cx="239893" cy="3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solidFill>
                    <a:srgbClr val="FF0000"/>
                  </a:solidFill>
                  <a:latin typeface="Avenir Next LT Pro Light" panose="020B0304020202020204" pitchFamily="34" charset="0"/>
                </a:rPr>
                <a:t>•</a:t>
              </a:r>
            </a:p>
          </xdr:txBody>
        </xdr:sp>
      </xdr:grpSp>
    </xdr:grpSp>
    <xdr:clientData/>
  </xdr:twoCellAnchor>
  <xdr:twoCellAnchor>
    <xdr:from>
      <xdr:col>20</xdr:col>
      <xdr:colOff>543274</xdr:colOff>
      <xdr:row>3</xdr:row>
      <xdr:rowOff>7046</xdr:rowOff>
    </xdr:from>
    <xdr:to>
      <xdr:col>23</xdr:col>
      <xdr:colOff>116764</xdr:colOff>
      <xdr:row>9</xdr:row>
      <xdr:rowOff>170835</xdr:rowOff>
    </xdr:to>
    <xdr:grpSp>
      <xdr:nvGrpSpPr>
        <xdr:cNvPr id="73" name="Group 72">
          <a:extLst>
            <a:ext uri="{FF2B5EF4-FFF2-40B4-BE49-F238E27FC236}">
              <a16:creationId xmlns:a16="http://schemas.microsoft.com/office/drawing/2014/main" id="{369B9B7F-3459-43BC-AC62-0B9324BC6AC3}"/>
            </a:ext>
          </a:extLst>
        </xdr:cNvPr>
        <xdr:cNvGrpSpPr/>
      </xdr:nvGrpSpPr>
      <xdr:grpSpPr>
        <a:xfrm>
          <a:off x="13774836" y="611800"/>
          <a:ext cx="1561875" cy="1363772"/>
          <a:chOff x="14037179" y="1312332"/>
          <a:chExt cx="1041227" cy="999939"/>
        </a:xfrm>
      </xdr:grpSpPr>
      <xdr:sp macro="" textlink="">
        <xdr:nvSpPr>
          <xdr:cNvPr id="74" name="Rectangle: Rounded Corners 73">
            <a:extLst>
              <a:ext uri="{FF2B5EF4-FFF2-40B4-BE49-F238E27FC236}">
                <a16:creationId xmlns:a16="http://schemas.microsoft.com/office/drawing/2014/main" id="{CBBDE3BA-C734-F64D-DDDC-D39820347BC1}"/>
              </a:ext>
            </a:extLst>
          </xdr:cNvPr>
          <xdr:cNvSpPr/>
        </xdr:nvSpPr>
        <xdr:spPr>
          <a:xfrm>
            <a:off x="14118167" y="1312332"/>
            <a:ext cx="874889" cy="987779"/>
          </a:xfrm>
          <a:prstGeom prst="roundRect">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5" name="TextBox 74">
            <a:extLst>
              <a:ext uri="{FF2B5EF4-FFF2-40B4-BE49-F238E27FC236}">
                <a16:creationId xmlns:a16="http://schemas.microsoft.com/office/drawing/2014/main" id="{6851BCEF-A0E7-7182-AB73-85BB1F53C546}"/>
              </a:ext>
            </a:extLst>
          </xdr:cNvPr>
          <xdr:cNvSpPr txBox="1"/>
        </xdr:nvSpPr>
        <xdr:spPr>
          <a:xfrm>
            <a:off x="14120073" y="1879059"/>
            <a:ext cx="870655" cy="433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latin typeface="Avenir Next LT Pro Light" panose="020B0304020202020204" pitchFamily="34" charset="0"/>
              </a:rPr>
              <a:t>Average</a:t>
            </a:r>
            <a:r>
              <a:rPr lang="en-US" sz="1400" b="1">
                <a:solidFill>
                  <a:schemeClr val="bg1"/>
                </a:solidFill>
                <a:latin typeface="Avenir Next LT Pro Light" panose="020B0304020202020204" pitchFamily="34" charset="0"/>
              </a:rPr>
              <a:t> </a:t>
            </a:r>
            <a:r>
              <a:rPr lang="en-US" sz="800" b="1">
                <a:solidFill>
                  <a:schemeClr val="bg1"/>
                </a:solidFill>
                <a:latin typeface="Avenir Next LT Pro Light" panose="020B0304020202020204" pitchFamily="34" charset="0"/>
              </a:rPr>
              <a:t>Monthly Expenses</a:t>
            </a:r>
            <a:endParaRPr lang="en-US" sz="1400" b="1">
              <a:solidFill>
                <a:schemeClr val="bg1"/>
              </a:solidFill>
              <a:latin typeface="Avenir Next LT Pro Light" panose="020B0304020202020204" pitchFamily="34" charset="0"/>
              <a:cs typeface="Arial" panose="020B0604020202020204" pitchFamily="34" charset="0"/>
            </a:endParaRPr>
          </a:p>
        </xdr:txBody>
      </xdr:sp>
      <xdr:sp macro="" textlink="'Pivot Tables'!AD4">
        <xdr:nvSpPr>
          <xdr:cNvPr id="76" name="TextBox 75">
            <a:extLst>
              <a:ext uri="{FF2B5EF4-FFF2-40B4-BE49-F238E27FC236}">
                <a16:creationId xmlns:a16="http://schemas.microsoft.com/office/drawing/2014/main" id="{16CFFFA2-9E5C-1E94-07EC-DE151B61C22B}"/>
              </a:ext>
            </a:extLst>
          </xdr:cNvPr>
          <xdr:cNvSpPr txBox="1"/>
        </xdr:nvSpPr>
        <xdr:spPr>
          <a:xfrm>
            <a:off x="14037179" y="1633140"/>
            <a:ext cx="1041227" cy="2681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2568FDC-2E4C-4721-9D48-70F6070F73F6}" type="TxLink">
              <a:rPr lang="en-US" sz="1800" b="1" i="0" u="none" strike="noStrike">
                <a:solidFill>
                  <a:schemeClr val="bg2"/>
                </a:solidFill>
                <a:latin typeface="Avenir Next LT Pro Light" panose="020B0304020202020204" pitchFamily="34" charset="0"/>
                <a:ea typeface="Calibri"/>
                <a:cs typeface="Calibri"/>
              </a:rPr>
              <a:pPr algn="ctr"/>
              <a:t>$265,620</a:t>
            </a:fld>
            <a:endParaRPr lang="en-US" sz="1600" b="1">
              <a:solidFill>
                <a:schemeClr val="bg2"/>
              </a:solidFill>
              <a:latin typeface="Avenir Next LT Pro Light" panose="020B0304020202020204" pitchFamily="34" charset="0"/>
              <a:cs typeface="Arial" panose="020B0604020202020204" pitchFamily="34" charset="0"/>
            </a:endParaRPr>
          </a:p>
        </xdr:txBody>
      </xdr:sp>
      <xdr:sp macro="" textlink="'Pivot Tables'!AD4">
        <xdr:nvSpPr>
          <xdr:cNvPr id="77" name="TextBox 76">
            <a:extLst>
              <a:ext uri="{FF2B5EF4-FFF2-40B4-BE49-F238E27FC236}">
                <a16:creationId xmlns:a16="http://schemas.microsoft.com/office/drawing/2014/main" id="{744DD46D-9C49-1DEB-9BC7-42C0197A7734}"/>
              </a:ext>
            </a:extLst>
          </xdr:cNvPr>
          <xdr:cNvSpPr txBox="1"/>
        </xdr:nvSpPr>
        <xdr:spPr>
          <a:xfrm>
            <a:off x="14164735" y="1330680"/>
            <a:ext cx="355598" cy="249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FFC000"/>
                </a:solidFill>
                <a:latin typeface="Avenir Next LT Pro Light" panose="020B0304020202020204" pitchFamily="34" charset="0"/>
                <a:cs typeface="Arial" panose="020B0604020202020204" pitchFamily="34" charset="0"/>
              </a:rPr>
              <a:t>Ω</a:t>
            </a:r>
          </a:p>
        </xdr:txBody>
      </xdr:sp>
    </xdr:grpSp>
    <xdr:clientData/>
  </xdr:twoCellAnchor>
  <xdr:twoCellAnchor>
    <xdr:from>
      <xdr:col>20</xdr:col>
      <xdr:colOff>359824</xdr:colOff>
      <xdr:row>10</xdr:row>
      <xdr:rowOff>70546</xdr:rowOff>
    </xdr:from>
    <xdr:to>
      <xdr:col>23</xdr:col>
      <xdr:colOff>328430</xdr:colOff>
      <xdr:row>24</xdr:row>
      <xdr:rowOff>83600</xdr:rowOff>
    </xdr:to>
    <xdr:grpSp>
      <xdr:nvGrpSpPr>
        <xdr:cNvPr id="78" name="Group 77">
          <a:extLst>
            <a:ext uri="{FF2B5EF4-FFF2-40B4-BE49-F238E27FC236}">
              <a16:creationId xmlns:a16="http://schemas.microsoft.com/office/drawing/2014/main" id="{245CCE13-CF7B-4DBB-86F3-4FAD7CB0D93B}"/>
            </a:ext>
          </a:extLst>
        </xdr:cNvPr>
        <xdr:cNvGrpSpPr/>
      </xdr:nvGrpSpPr>
      <xdr:grpSpPr>
        <a:xfrm>
          <a:off x="13594561" y="2102713"/>
          <a:ext cx="1956991" cy="2826773"/>
          <a:chOff x="13635509" y="2332565"/>
          <a:chExt cx="1964961" cy="2803879"/>
        </a:xfrm>
      </xdr:grpSpPr>
      <xdr:sp macro="" textlink="">
        <xdr:nvSpPr>
          <xdr:cNvPr id="79" name="Rectangle: Rounded Corners 78">
            <a:extLst>
              <a:ext uri="{FF2B5EF4-FFF2-40B4-BE49-F238E27FC236}">
                <a16:creationId xmlns:a16="http://schemas.microsoft.com/office/drawing/2014/main" id="{AEB93BBD-C1CF-23C6-4BD7-C76D955A8540}"/>
              </a:ext>
            </a:extLst>
          </xdr:cNvPr>
          <xdr:cNvSpPr/>
        </xdr:nvSpPr>
        <xdr:spPr>
          <a:xfrm>
            <a:off x="13950849" y="2332565"/>
            <a:ext cx="1337267" cy="2803879"/>
          </a:xfrm>
          <a:prstGeom prst="roundRect">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0" name="TextBox 79">
            <a:extLst>
              <a:ext uri="{FF2B5EF4-FFF2-40B4-BE49-F238E27FC236}">
                <a16:creationId xmlns:a16="http://schemas.microsoft.com/office/drawing/2014/main" id="{60B7FB51-C824-0FFE-23A7-1B6349B8F846}"/>
              </a:ext>
            </a:extLst>
          </xdr:cNvPr>
          <xdr:cNvSpPr txBox="1"/>
        </xdr:nvSpPr>
        <xdr:spPr>
          <a:xfrm>
            <a:off x="13858103" y="2370664"/>
            <a:ext cx="1520600" cy="536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latin typeface="Avenir Next LT Pro "/>
              </a:rPr>
              <a:t>Operating</a:t>
            </a:r>
            <a:r>
              <a:rPr lang="en-US" sz="1050" b="1">
                <a:solidFill>
                  <a:schemeClr val="bg1"/>
                </a:solidFill>
                <a:latin typeface="Avenir Next LT Pro "/>
              </a:rPr>
              <a:t> Profit</a:t>
            </a:r>
            <a:endParaRPr lang="en-US" sz="1050" b="1">
              <a:solidFill>
                <a:schemeClr val="bg1"/>
              </a:solidFill>
              <a:latin typeface="Avenir Next LT Pro "/>
              <a:cs typeface="Arial" panose="020B0604020202020204" pitchFamily="34" charset="0"/>
            </a:endParaRPr>
          </a:p>
        </xdr:txBody>
      </xdr:sp>
      <xdr:graphicFrame macro="">
        <xdr:nvGraphicFramePr>
          <xdr:cNvPr id="81" name="Chart 80">
            <a:extLst>
              <a:ext uri="{FF2B5EF4-FFF2-40B4-BE49-F238E27FC236}">
                <a16:creationId xmlns:a16="http://schemas.microsoft.com/office/drawing/2014/main" id="{6062172E-6249-3A67-8109-91C6906B702F}"/>
              </a:ext>
            </a:extLst>
          </xdr:cNvPr>
          <xdr:cNvGraphicFramePr>
            <a:graphicFrameLocks/>
          </xdr:cNvGraphicFramePr>
        </xdr:nvGraphicFramePr>
        <xdr:xfrm>
          <a:off x="13979658" y="2617605"/>
          <a:ext cx="1563740" cy="2159001"/>
        </xdr:xfrm>
        <a:graphic>
          <a:graphicData uri="http://schemas.openxmlformats.org/drawingml/2006/chart">
            <c:chart xmlns:c="http://schemas.openxmlformats.org/drawingml/2006/chart" xmlns:r="http://schemas.openxmlformats.org/officeDocument/2006/relationships" r:id="rId12"/>
          </a:graphicData>
        </a:graphic>
      </xdr:graphicFrame>
      <xdr:sp macro="" textlink="'Pivot Tables'!AI4">
        <xdr:nvSpPr>
          <xdr:cNvPr id="82" name="TextBox 81">
            <a:extLst>
              <a:ext uri="{FF2B5EF4-FFF2-40B4-BE49-F238E27FC236}">
                <a16:creationId xmlns:a16="http://schemas.microsoft.com/office/drawing/2014/main" id="{E629A63B-E3DA-79E9-63EB-A236DC017580}"/>
              </a:ext>
            </a:extLst>
          </xdr:cNvPr>
          <xdr:cNvSpPr txBox="1"/>
        </xdr:nvSpPr>
        <xdr:spPr>
          <a:xfrm>
            <a:off x="13635509" y="4614334"/>
            <a:ext cx="1964961" cy="479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C770D51-BB70-4ECC-B162-65B97597A519}" type="TxLink">
              <a:rPr lang="en-US" sz="1600" b="1" i="0" u="none" strike="noStrike">
                <a:solidFill>
                  <a:schemeClr val="accent4">
                    <a:lumMod val="60000"/>
                    <a:lumOff val="40000"/>
                  </a:schemeClr>
                </a:solidFill>
                <a:latin typeface="Avenir Next LT Pro" panose="020B0504020202020204" pitchFamily="34" charset="0"/>
                <a:ea typeface="Calibri" panose="020F0502020204030204" pitchFamily="34" charset="0"/>
                <a:cs typeface="Calibri" panose="020F0502020204030204" pitchFamily="34" charset="0"/>
              </a:rPr>
              <a:pPr algn="ctr"/>
              <a:t>$182,454</a:t>
            </a:fld>
            <a:endParaRPr lang="en-US" sz="1600" b="1">
              <a:solidFill>
                <a:schemeClr val="accent4">
                  <a:lumMod val="60000"/>
                  <a:lumOff val="40000"/>
                </a:schemeClr>
              </a:solidFill>
              <a:latin typeface="Avenir Next LT Pro" panose="020B0504020202020204" pitchFamily="34" charset="0"/>
              <a:ea typeface="Calibri" panose="020F0502020204030204" pitchFamily="34" charset="0"/>
              <a:cs typeface="Calibri" panose="020F0502020204030204" pitchFamily="34" charset="0"/>
            </a:endParaRPr>
          </a:p>
        </xdr:txBody>
      </xdr:sp>
    </xdr:grpSp>
    <xdr:clientData/>
  </xdr:twoCellAnchor>
  <xdr:twoCellAnchor>
    <xdr:from>
      <xdr:col>20</xdr:col>
      <xdr:colOff>268105</xdr:colOff>
      <xdr:row>24</xdr:row>
      <xdr:rowOff>178769</xdr:rowOff>
    </xdr:from>
    <xdr:to>
      <xdr:col>23</xdr:col>
      <xdr:colOff>466372</xdr:colOff>
      <xdr:row>38</xdr:row>
      <xdr:rowOff>154605</xdr:rowOff>
    </xdr:to>
    <xdr:grpSp>
      <xdr:nvGrpSpPr>
        <xdr:cNvPr id="83" name="Group 82">
          <a:extLst>
            <a:ext uri="{FF2B5EF4-FFF2-40B4-BE49-F238E27FC236}">
              <a16:creationId xmlns:a16="http://schemas.microsoft.com/office/drawing/2014/main" id="{5E23908E-733B-4D8F-A7B8-F456D876AA96}"/>
            </a:ext>
          </a:extLst>
        </xdr:cNvPr>
        <xdr:cNvGrpSpPr/>
      </xdr:nvGrpSpPr>
      <xdr:grpSpPr>
        <a:xfrm>
          <a:off x="13502842" y="5024655"/>
          <a:ext cx="2186652" cy="2780029"/>
          <a:chOff x="13553723" y="5241219"/>
          <a:chExt cx="2194284" cy="2498725"/>
        </a:xfrm>
      </xdr:grpSpPr>
      <xdr:sp macro="" textlink="">
        <xdr:nvSpPr>
          <xdr:cNvPr id="84" name="Rectangle: Rounded Corners 83">
            <a:extLst>
              <a:ext uri="{FF2B5EF4-FFF2-40B4-BE49-F238E27FC236}">
                <a16:creationId xmlns:a16="http://schemas.microsoft.com/office/drawing/2014/main" id="{4A823EED-4FCB-97D4-3780-DB10084AA2F1}"/>
              </a:ext>
            </a:extLst>
          </xdr:cNvPr>
          <xdr:cNvSpPr/>
        </xdr:nvSpPr>
        <xdr:spPr>
          <a:xfrm>
            <a:off x="14008122" y="5241219"/>
            <a:ext cx="1286433" cy="2498725"/>
          </a:xfrm>
          <a:prstGeom prst="roundRect">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85" name="Chart 84">
            <a:extLst>
              <a:ext uri="{FF2B5EF4-FFF2-40B4-BE49-F238E27FC236}">
                <a16:creationId xmlns:a16="http://schemas.microsoft.com/office/drawing/2014/main" id="{17E04938-A288-0923-8ABE-3EB8A9C422E8}"/>
              </a:ext>
            </a:extLst>
          </xdr:cNvPr>
          <xdr:cNvGraphicFramePr>
            <a:graphicFrameLocks/>
          </xdr:cNvGraphicFramePr>
        </xdr:nvGraphicFramePr>
        <xdr:xfrm>
          <a:off x="13553723" y="5806722"/>
          <a:ext cx="2194284" cy="1397000"/>
        </xdr:xfrm>
        <a:graphic>
          <a:graphicData uri="http://schemas.openxmlformats.org/drawingml/2006/chart">
            <c:chart xmlns:c="http://schemas.openxmlformats.org/drawingml/2006/chart" xmlns:r="http://schemas.openxmlformats.org/officeDocument/2006/relationships" r:id="rId13"/>
          </a:graphicData>
        </a:graphic>
      </xdr:graphicFrame>
      <xdr:sp macro="" textlink="'Pivot Tables'!AQ3">
        <xdr:nvSpPr>
          <xdr:cNvPr id="86" name="TextBox 85">
            <a:extLst>
              <a:ext uri="{FF2B5EF4-FFF2-40B4-BE49-F238E27FC236}">
                <a16:creationId xmlns:a16="http://schemas.microsoft.com/office/drawing/2014/main" id="{740BC996-3780-C8AF-69D9-250AB7ECEC20}"/>
              </a:ext>
            </a:extLst>
          </xdr:cNvPr>
          <xdr:cNvSpPr txBox="1"/>
        </xdr:nvSpPr>
        <xdr:spPr>
          <a:xfrm>
            <a:off x="13950957" y="5682812"/>
            <a:ext cx="1347173" cy="283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57BA067-AC46-4976-BF5E-66B31DE06F5D}" type="TxLink">
              <a:rPr lang="en-US" sz="1200" b="0" i="0" u="none" strike="noStrike">
                <a:solidFill>
                  <a:schemeClr val="bg1"/>
                </a:solidFill>
                <a:latin typeface="Calibri"/>
                <a:ea typeface="Calibri"/>
                <a:cs typeface="Calibri"/>
              </a:rPr>
              <a:pPr algn="ctr"/>
              <a:t>$10,034</a:t>
            </a:fld>
            <a:endParaRPr lang="en-US" sz="1100" b="0">
              <a:solidFill>
                <a:schemeClr val="bg1"/>
              </a:solidFill>
              <a:latin typeface="Avenir Next LT Pro" panose="020B0504020202020204" pitchFamily="34" charset="0"/>
              <a:ea typeface="Calibri" panose="020F0502020204030204" pitchFamily="34" charset="0"/>
              <a:cs typeface="Calibri" panose="020F0502020204030204" pitchFamily="34" charset="0"/>
            </a:endParaRPr>
          </a:p>
        </xdr:txBody>
      </xdr:sp>
      <xdr:sp macro="" textlink="'Pivot Tables'!AQ4">
        <xdr:nvSpPr>
          <xdr:cNvPr id="87" name="TextBox 86">
            <a:extLst>
              <a:ext uri="{FF2B5EF4-FFF2-40B4-BE49-F238E27FC236}">
                <a16:creationId xmlns:a16="http://schemas.microsoft.com/office/drawing/2014/main" id="{439B9871-C89D-5801-63D5-A4CFCF6918DA}"/>
              </a:ext>
            </a:extLst>
          </xdr:cNvPr>
          <xdr:cNvSpPr txBox="1"/>
        </xdr:nvSpPr>
        <xdr:spPr>
          <a:xfrm>
            <a:off x="13939259" y="7024238"/>
            <a:ext cx="1347173" cy="2829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8F900FB-FAF1-4050-BBF5-1B63C073AE9D}" type="TxLink">
              <a:rPr lang="en-US" sz="1200" b="0" i="0" u="none" strike="noStrike">
                <a:solidFill>
                  <a:schemeClr val="bg1"/>
                </a:solidFill>
                <a:latin typeface="Calibri"/>
                <a:ea typeface="Calibri"/>
                <a:cs typeface="Calibri"/>
              </a:rPr>
              <a:pPr algn="ctr"/>
              <a:t>$2,114,922</a:t>
            </a:fld>
            <a:endParaRPr lang="en-US" sz="1100" b="0">
              <a:solidFill>
                <a:schemeClr val="bg1"/>
              </a:solidFill>
              <a:latin typeface="Avenir Next LT Pro" panose="020B0504020202020204" pitchFamily="34" charset="0"/>
              <a:ea typeface="Calibri" panose="020F0502020204030204" pitchFamily="34" charset="0"/>
              <a:cs typeface="Calibri" panose="020F0502020204030204" pitchFamily="34" charset="0"/>
            </a:endParaRPr>
          </a:p>
        </xdr:txBody>
      </xdr:sp>
      <xdr:sp macro="" textlink="'Pivot Tables'!AR4">
        <xdr:nvSpPr>
          <xdr:cNvPr id="88" name="TextBox 87">
            <a:extLst>
              <a:ext uri="{FF2B5EF4-FFF2-40B4-BE49-F238E27FC236}">
                <a16:creationId xmlns:a16="http://schemas.microsoft.com/office/drawing/2014/main" id="{B4E0DE0F-287F-4D87-3ED9-801C7B172D8C}"/>
              </a:ext>
            </a:extLst>
          </xdr:cNvPr>
          <xdr:cNvSpPr txBox="1"/>
        </xdr:nvSpPr>
        <xdr:spPr>
          <a:xfrm>
            <a:off x="13965963" y="7200525"/>
            <a:ext cx="1347173" cy="282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9BC0245-BD01-4FE5-9DD5-75DCECAD9AAE}" type="TxLink">
              <a:rPr lang="en-US" sz="1200" b="0" i="0" u="none" strike="noStrike">
                <a:solidFill>
                  <a:schemeClr val="bg1"/>
                </a:solidFill>
                <a:latin typeface="Calibri"/>
                <a:ea typeface="Calibri"/>
                <a:cs typeface="Calibri"/>
              </a:rPr>
              <a:pPr algn="ctr"/>
              <a:t>99.53%</a:t>
            </a:fld>
            <a:endParaRPr lang="en-US" sz="1100" b="0">
              <a:solidFill>
                <a:schemeClr val="bg1"/>
              </a:solidFill>
              <a:latin typeface="Avenir Next LT Pro" panose="020B0504020202020204" pitchFamily="34" charset="0"/>
              <a:ea typeface="Calibri" panose="020F0502020204030204" pitchFamily="34" charset="0"/>
              <a:cs typeface="Calibri" panose="020F0502020204030204" pitchFamily="34" charset="0"/>
            </a:endParaRPr>
          </a:p>
        </xdr:txBody>
      </xdr:sp>
      <xdr:sp macro="" textlink="'Pivot Tables'!AR3">
        <xdr:nvSpPr>
          <xdr:cNvPr id="89" name="TextBox 88">
            <a:extLst>
              <a:ext uri="{FF2B5EF4-FFF2-40B4-BE49-F238E27FC236}">
                <a16:creationId xmlns:a16="http://schemas.microsoft.com/office/drawing/2014/main" id="{CA35FC2A-1530-8249-AC12-EFA83E4AF87D}"/>
              </a:ext>
            </a:extLst>
          </xdr:cNvPr>
          <xdr:cNvSpPr txBox="1"/>
        </xdr:nvSpPr>
        <xdr:spPr>
          <a:xfrm>
            <a:off x="13946939" y="5505873"/>
            <a:ext cx="1347173" cy="282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7387651-A534-4437-924A-450BCDD9EF9B}" type="TxLink">
              <a:rPr lang="en-US" sz="1200" b="0" i="0" u="none" strike="noStrike">
                <a:solidFill>
                  <a:schemeClr val="bg1"/>
                </a:solidFill>
                <a:latin typeface="Calibri"/>
                <a:ea typeface="Calibri"/>
                <a:cs typeface="Calibri"/>
              </a:rPr>
              <a:pPr algn="ctr"/>
              <a:t>0.47%</a:t>
            </a:fld>
            <a:endParaRPr lang="en-US" sz="1100" b="0">
              <a:solidFill>
                <a:schemeClr val="bg1"/>
              </a:solidFill>
              <a:latin typeface="Avenir Next LT Pro" panose="020B0504020202020204" pitchFamily="34" charset="0"/>
              <a:ea typeface="Calibri" panose="020F0502020204030204" pitchFamily="34" charset="0"/>
              <a:cs typeface="Calibri" panose="020F0502020204030204" pitchFamily="34" charset="0"/>
            </a:endParaRPr>
          </a:p>
        </xdr:txBody>
      </xdr:sp>
      <xdr:sp macro="" textlink="">
        <xdr:nvSpPr>
          <xdr:cNvPr id="90" name="TextBox 89">
            <a:extLst>
              <a:ext uri="{FF2B5EF4-FFF2-40B4-BE49-F238E27FC236}">
                <a16:creationId xmlns:a16="http://schemas.microsoft.com/office/drawing/2014/main" id="{4433806A-1F3E-7CFB-C24C-3BAA948C0FFA}"/>
              </a:ext>
            </a:extLst>
          </xdr:cNvPr>
          <xdr:cNvSpPr txBox="1"/>
        </xdr:nvSpPr>
        <xdr:spPr>
          <a:xfrm>
            <a:off x="14236367" y="5298264"/>
            <a:ext cx="720509" cy="2546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chemeClr val="bg1"/>
                </a:solidFill>
                <a:latin typeface="Avenir Next LT Pro Light" panose="020B0304020202020204" pitchFamily="34" charset="0"/>
              </a:rPr>
              <a:t>Fixed</a:t>
            </a:r>
            <a:endParaRPr lang="en-US" sz="1200" b="1">
              <a:solidFill>
                <a:schemeClr val="bg1"/>
              </a:solidFill>
              <a:latin typeface="Avenir Next LT Pro Light" panose="020B0304020202020204" pitchFamily="34" charset="0"/>
              <a:cs typeface="Arial" panose="020B0604020202020204" pitchFamily="34" charset="0"/>
            </a:endParaRPr>
          </a:p>
        </xdr:txBody>
      </xdr:sp>
      <xdr:sp macro="" textlink="">
        <xdr:nvSpPr>
          <xdr:cNvPr id="91" name="TextBox 90">
            <a:extLst>
              <a:ext uri="{FF2B5EF4-FFF2-40B4-BE49-F238E27FC236}">
                <a16:creationId xmlns:a16="http://schemas.microsoft.com/office/drawing/2014/main" id="{2157CD3A-03C2-20CE-FF7E-0BF97ACB5165}"/>
              </a:ext>
            </a:extLst>
          </xdr:cNvPr>
          <xdr:cNvSpPr txBox="1"/>
        </xdr:nvSpPr>
        <xdr:spPr>
          <a:xfrm>
            <a:off x="14098631" y="7386368"/>
            <a:ext cx="1134207" cy="2946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chemeClr val="bg1"/>
                </a:solidFill>
                <a:latin typeface="Avenir Next LT Pro Light" panose="020B0304020202020204" pitchFamily="34" charset="0"/>
                <a:cs typeface="+mn-cs"/>
              </a:rPr>
              <a:t>Operations</a:t>
            </a:r>
            <a:endParaRPr lang="en-US" sz="1200" b="1">
              <a:solidFill>
                <a:schemeClr val="bg1"/>
              </a:solidFill>
              <a:latin typeface="Avenir Next LT Pro Light" panose="020B0304020202020204" pitchFamily="34" charset="0"/>
              <a:cs typeface="Arial" panose="020B0604020202020204" pitchFamily="34" charset="0"/>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26</xdr:col>
      <xdr:colOff>99821</xdr:colOff>
      <xdr:row>2</xdr:row>
      <xdr:rowOff>93392</xdr:rowOff>
    </xdr:to>
    <xdr:grpSp>
      <xdr:nvGrpSpPr>
        <xdr:cNvPr id="2" name="Group 1">
          <a:extLst>
            <a:ext uri="{FF2B5EF4-FFF2-40B4-BE49-F238E27FC236}">
              <a16:creationId xmlns:a16="http://schemas.microsoft.com/office/drawing/2014/main" id="{A2B2167E-3A50-4616-AB8C-5E6FCE81038D}"/>
            </a:ext>
          </a:extLst>
        </xdr:cNvPr>
        <xdr:cNvGrpSpPr/>
      </xdr:nvGrpSpPr>
      <xdr:grpSpPr>
        <a:xfrm>
          <a:off x="0" y="0"/>
          <a:ext cx="17267840" cy="490267"/>
          <a:chOff x="1" y="1"/>
          <a:chExt cx="17270221" cy="487092"/>
        </a:xfrm>
      </xdr:grpSpPr>
      <xdr:sp macro="" textlink="">
        <xdr:nvSpPr>
          <xdr:cNvPr id="3" name="Rectangle 2">
            <a:extLst>
              <a:ext uri="{FF2B5EF4-FFF2-40B4-BE49-F238E27FC236}">
                <a16:creationId xmlns:a16="http://schemas.microsoft.com/office/drawing/2014/main" id="{BDF0FE39-90BC-2E21-23A8-DB7B073A587D}"/>
              </a:ext>
            </a:extLst>
          </xdr:cNvPr>
          <xdr:cNvSpPr/>
        </xdr:nvSpPr>
        <xdr:spPr>
          <a:xfrm>
            <a:off x="6350" y="50799"/>
            <a:ext cx="17263872" cy="393192"/>
          </a:xfrm>
          <a:prstGeom prst="rect">
            <a:avLst/>
          </a:prstGeom>
          <a:solidFill>
            <a:srgbClr val="10103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3">
            <a:extLst>
              <a:ext uri="{FF2B5EF4-FFF2-40B4-BE49-F238E27FC236}">
                <a16:creationId xmlns:a16="http://schemas.microsoft.com/office/drawing/2014/main" id="{52D33306-EF5B-CCA4-340C-4E9CFF1589E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
            <a:ext cx="1051278" cy="487092"/>
          </a:xfrm>
          <a:prstGeom prst="rect">
            <a:avLst/>
          </a:prstGeom>
        </xdr:spPr>
      </xdr:pic>
      <xdr:sp macro="" textlink="">
        <xdr:nvSpPr>
          <xdr:cNvPr id="6" name="TextBox 5">
            <a:hlinkClick xmlns:r="http://schemas.openxmlformats.org/officeDocument/2006/relationships" r:id="rId2" tooltip="http://agrilife.tamu.edu"/>
            <a:extLst>
              <a:ext uri="{FF2B5EF4-FFF2-40B4-BE49-F238E27FC236}">
                <a16:creationId xmlns:a16="http://schemas.microsoft.com/office/drawing/2014/main" id="{B1BD13BD-FCF3-9007-717B-B0A64CFD13C6}"/>
              </a:ext>
            </a:extLst>
          </xdr:cNvPr>
          <xdr:cNvSpPr txBox="1"/>
        </xdr:nvSpPr>
        <xdr:spPr>
          <a:xfrm>
            <a:off x="5771444" y="70556"/>
            <a:ext cx="1354666" cy="303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chemeClr val="bg1"/>
                </a:solidFill>
                <a:latin typeface="Avenir"/>
              </a:rPr>
              <a:t>Connect</a:t>
            </a:r>
          </a:p>
        </xdr:txBody>
      </xdr:sp>
      <xdr:sp macro="" textlink="">
        <xdr:nvSpPr>
          <xdr:cNvPr id="7" name="TextBox 6">
            <a:hlinkClick xmlns:r="http://schemas.openxmlformats.org/officeDocument/2006/relationships" r:id="rId3" tooltip="Production"/>
            <a:extLst>
              <a:ext uri="{FF2B5EF4-FFF2-40B4-BE49-F238E27FC236}">
                <a16:creationId xmlns:a16="http://schemas.microsoft.com/office/drawing/2014/main" id="{7AB49029-C94E-BA2E-640E-88CB287A3969}"/>
              </a:ext>
            </a:extLst>
          </xdr:cNvPr>
          <xdr:cNvSpPr txBox="1"/>
        </xdr:nvSpPr>
        <xdr:spPr>
          <a:xfrm>
            <a:off x="10301111" y="98072"/>
            <a:ext cx="1354666" cy="303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chemeClr val="bg1"/>
                </a:solidFill>
                <a:latin typeface="Avenir"/>
              </a:rPr>
              <a:t>Production</a:t>
            </a:r>
          </a:p>
        </xdr:txBody>
      </xdr:sp>
      <xdr:sp macro="" textlink="">
        <xdr:nvSpPr>
          <xdr:cNvPr id="8" name="TextBox 7">
            <a:hlinkClick xmlns:r="http://schemas.openxmlformats.org/officeDocument/2006/relationships" r:id="rId4" tooltip="Income"/>
            <a:extLst>
              <a:ext uri="{FF2B5EF4-FFF2-40B4-BE49-F238E27FC236}">
                <a16:creationId xmlns:a16="http://schemas.microsoft.com/office/drawing/2014/main" id="{4FA3DD8F-4E26-4FD0-E087-CD390662EF7E}"/>
              </a:ext>
            </a:extLst>
          </xdr:cNvPr>
          <xdr:cNvSpPr txBox="1"/>
        </xdr:nvSpPr>
        <xdr:spPr>
          <a:xfrm>
            <a:off x="11610622" y="98072"/>
            <a:ext cx="1354666" cy="303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chemeClr val="bg1"/>
                </a:solidFill>
                <a:latin typeface="Avenir"/>
              </a:rPr>
              <a:t>Income</a:t>
            </a:r>
          </a:p>
        </xdr:txBody>
      </xdr:sp>
      <xdr:sp macro="" textlink="">
        <xdr:nvSpPr>
          <xdr:cNvPr id="9" name="TextBox 8">
            <a:hlinkClick xmlns:r="http://schemas.openxmlformats.org/officeDocument/2006/relationships" r:id="rId5" tooltip="Operations"/>
            <a:extLst>
              <a:ext uri="{FF2B5EF4-FFF2-40B4-BE49-F238E27FC236}">
                <a16:creationId xmlns:a16="http://schemas.microsoft.com/office/drawing/2014/main" id="{18DFD076-2468-68D4-FD77-47A0D0DB4507}"/>
              </a:ext>
            </a:extLst>
          </xdr:cNvPr>
          <xdr:cNvSpPr txBox="1"/>
        </xdr:nvSpPr>
        <xdr:spPr>
          <a:xfrm>
            <a:off x="12920133" y="98072"/>
            <a:ext cx="1354666" cy="303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chemeClr val="bg1"/>
                </a:solidFill>
                <a:latin typeface="Avenir"/>
              </a:rPr>
              <a:t>Operations</a:t>
            </a:r>
          </a:p>
        </xdr:txBody>
      </xdr:sp>
      <xdr:sp macro="" textlink="">
        <xdr:nvSpPr>
          <xdr:cNvPr id="10" name="TextBox 9">
            <a:hlinkClick xmlns:r="http://schemas.openxmlformats.org/officeDocument/2006/relationships" r:id="rId6" tooltip="Investment"/>
            <a:extLst>
              <a:ext uri="{FF2B5EF4-FFF2-40B4-BE49-F238E27FC236}">
                <a16:creationId xmlns:a16="http://schemas.microsoft.com/office/drawing/2014/main" id="{0181D497-349C-F443-D438-82B2D845CD83}"/>
              </a:ext>
            </a:extLst>
          </xdr:cNvPr>
          <xdr:cNvSpPr txBox="1"/>
        </xdr:nvSpPr>
        <xdr:spPr>
          <a:xfrm>
            <a:off x="14229644" y="98072"/>
            <a:ext cx="1354666" cy="303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chemeClr val="bg1"/>
                </a:solidFill>
                <a:latin typeface="Avenir"/>
              </a:rPr>
              <a:t>Investment</a:t>
            </a:r>
          </a:p>
        </xdr:txBody>
      </xdr:sp>
      <xdr:grpSp>
        <xdr:nvGrpSpPr>
          <xdr:cNvPr id="11" name="Graphic 11" descr="Compass outline">
            <a:extLst>
              <a:ext uri="{FF2B5EF4-FFF2-40B4-BE49-F238E27FC236}">
                <a16:creationId xmlns:a16="http://schemas.microsoft.com/office/drawing/2014/main" id="{DCFB4519-A6E1-6096-078E-1784997ADBD1}"/>
              </a:ext>
            </a:extLst>
          </xdr:cNvPr>
          <xdr:cNvGrpSpPr/>
        </xdr:nvGrpSpPr>
        <xdr:grpSpPr>
          <a:xfrm>
            <a:off x="5874456" y="77611"/>
            <a:ext cx="270933" cy="261056"/>
            <a:chOff x="5458178" y="1140178"/>
            <a:chExt cx="609600" cy="609600"/>
          </a:xfrm>
          <a:solidFill>
            <a:srgbClr val="000000"/>
          </a:solidFill>
        </xdr:grpSpPr>
        <xdr:sp macro="" textlink="">
          <xdr:nvSpPr>
            <xdr:cNvPr id="12" name="Freeform: Shape 11">
              <a:extLst>
                <a:ext uri="{FF2B5EF4-FFF2-40B4-BE49-F238E27FC236}">
                  <a16:creationId xmlns:a16="http://schemas.microsoft.com/office/drawing/2014/main" id="{C6C2082E-FDB6-456D-E3DC-8FC2FC2DBAEF}"/>
                </a:ext>
              </a:extLst>
            </xdr:cNvPr>
            <xdr:cNvSpPr/>
          </xdr:nvSpPr>
          <xdr:spPr>
            <a:xfrm>
              <a:off x="5458178" y="1140178"/>
              <a:ext cx="609600" cy="609600"/>
            </a:xfrm>
            <a:custGeom>
              <a:avLst/>
              <a:gdLst>
                <a:gd name="connsiteX0" fmla="*/ 304800 w 609600"/>
                <a:gd name="connsiteY0" fmla="*/ 19050 h 609600"/>
                <a:gd name="connsiteX1" fmla="*/ 590550 w 609600"/>
                <a:gd name="connsiteY1" fmla="*/ 304800 h 609600"/>
                <a:gd name="connsiteX2" fmla="*/ 304800 w 609600"/>
                <a:gd name="connsiteY2" fmla="*/ 590550 h 609600"/>
                <a:gd name="connsiteX3" fmla="*/ 19050 w 609600"/>
                <a:gd name="connsiteY3" fmla="*/ 304800 h 609600"/>
                <a:gd name="connsiteX4" fmla="*/ 304800 w 609600"/>
                <a:gd name="connsiteY4" fmla="*/ 19050 h 609600"/>
                <a:gd name="connsiteX5" fmla="*/ 304800 w 609600"/>
                <a:gd name="connsiteY5" fmla="*/ 0 h 609600"/>
                <a:gd name="connsiteX6" fmla="*/ 0 w 609600"/>
                <a:gd name="connsiteY6" fmla="*/ 304800 h 609600"/>
                <a:gd name="connsiteX7" fmla="*/ 304800 w 609600"/>
                <a:gd name="connsiteY7" fmla="*/ 609600 h 609600"/>
                <a:gd name="connsiteX8" fmla="*/ 609600 w 609600"/>
                <a:gd name="connsiteY8" fmla="*/ 304800 h 609600"/>
                <a:gd name="connsiteX9" fmla="*/ 304800 w 609600"/>
                <a:gd name="connsiteY9" fmla="*/ 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609600" h="609600">
                  <a:moveTo>
                    <a:pt x="304800" y="19050"/>
                  </a:moveTo>
                  <a:cubicBezTo>
                    <a:pt x="462615" y="19050"/>
                    <a:pt x="590550" y="146985"/>
                    <a:pt x="590550" y="304800"/>
                  </a:cubicBezTo>
                  <a:cubicBezTo>
                    <a:pt x="590550" y="462615"/>
                    <a:pt x="462615" y="590550"/>
                    <a:pt x="304800" y="590550"/>
                  </a:cubicBezTo>
                  <a:cubicBezTo>
                    <a:pt x="146985" y="590550"/>
                    <a:pt x="19050" y="462615"/>
                    <a:pt x="19050" y="304800"/>
                  </a:cubicBezTo>
                  <a:cubicBezTo>
                    <a:pt x="19228" y="147058"/>
                    <a:pt x="147058" y="19228"/>
                    <a:pt x="304800" y="19050"/>
                  </a:cubicBezTo>
                  <a:moveTo>
                    <a:pt x="304800" y="0"/>
                  </a:moveTo>
                  <a:cubicBezTo>
                    <a:pt x="136464" y="0"/>
                    <a:pt x="0" y="136464"/>
                    <a:pt x="0" y="304800"/>
                  </a:cubicBezTo>
                  <a:cubicBezTo>
                    <a:pt x="0" y="473136"/>
                    <a:pt x="136464" y="609600"/>
                    <a:pt x="304800" y="609600"/>
                  </a:cubicBezTo>
                  <a:cubicBezTo>
                    <a:pt x="473136" y="609600"/>
                    <a:pt x="609600" y="473136"/>
                    <a:pt x="609600" y="304800"/>
                  </a:cubicBezTo>
                  <a:cubicBezTo>
                    <a:pt x="609411" y="136542"/>
                    <a:pt x="473058" y="189"/>
                    <a:pt x="304800" y="0"/>
                  </a:cubicBezTo>
                  <a:close/>
                </a:path>
              </a:pathLst>
            </a:custGeom>
            <a:solidFill>
              <a:srgbClr val="000000"/>
            </a:solidFill>
            <a:ln w="9525" cap="flat">
              <a:solidFill>
                <a:schemeClr val="bg1"/>
              </a:solidFill>
              <a:prstDash val="solid"/>
              <a:miter/>
            </a:ln>
          </xdr:spPr>
          <xdr:txBody>
            <a:bodyPr rtlCol="0" anchor="ctr"/>
            <a:lstStyle/>
            <a:p>
              <a:endParaRPr lang="en-US"/>
            </a:p>
          </xdr:txBody>
        </xdr:sp>
        <xdr:sp macro="" textlink="">
          <xdr:nvSpPr>
            <xdr:cNvPr id="13" name="Freeform: Shape 12">
              <a:extLst>
                <a:ext uri="{FF2B5EF4-FFF2-40B4-BE49-F238E27FC236}">
                  <a16:creationId xmlns:a16="http://schemas.microsoft.com/office/drawing/2014/main" id="{6C60523C-3A3F-0266-B466-79D07825E1A6}"/>
                </a:ext>
              </a:extLst>
            </xdr:cNvPr>
            <xdr:cNvSpPr/>
          </xdr:nvSpPr>
          <xdr:spPr>
            <a:xfrm>
              <a:off x="5614388" y="1298292"/>
              <a:ext cx="295275" cy="295275"/>
            </a:xfrm>
            <a:custGeom>
              <a:avLst/>
              <a:gdLst>
                <a:gd name="connsiteX0" fmla="*/ 194939 w 295275"/>
                <a:gd name="connsiteY0" fmla="*/ 194948 h 295275"/>
                <a:gd name="connsiteX1" fmla="*/ 35023 w 295275"/>
                <a:gd name="connsiteY1" fmla="*/ 260366 h 295275"/>
                <a:gd name="connsiteX2" fmla="*/ 100336 w 295275"/>
                <a:gd name="connsiteY2" fmla="*/ 102175 h 295275"/>
                <a:gd name="connsiteX3" fmla="*/ 260252 w 295275"/>
                <a:gd name="connsiteY3" fmla="*/ 35290 h 295275"/>
                <a:gd name="connsiteX4" fmla="*/ 85725 w 295275"/>
                <a:gd name="connsiteY4" fmla="*/ 87630 h 295275"/>
                <a:gd name="connsiteX5" fmla="*/ 0 w 295275"/>
                <a:gd name="connsiteY5" fmla="*/ 295275 h 295275"/>
                <a:gd name="connsiteX6" fmla="*/ 209550 w 295275"/>
                <a:gd name="connsiteY6" fmla="*/ 209550 h 295275"/>
                <a:gd name="connsiteX7" fmla="*/ 295275 w 295275"/>
                <a:gd name="connsiteY7" fmla="*/ 0 h 2952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5275" h="295275">
                  <a:moveTo>
                    <a:pt x="194939" y="194948"/>
                  </a:moveTo>
                  <a:lnTo>
                    <a:pt x="35023" y="260366"/>
                  </a:lnTo>
                  <a:lnTo>
                    <a:pt x="100336" y="102175"/>
                  </a:lnTo>
                  <a:lnTo>
                    <a:pt x="260252" y="35290"/>
                  </a:lnTo>
                  <a:close/>
                  <a:moveTo>
                    <a:pt x="85725" y="87630"/>
                  </a:moveTo>
                  <a:lnTo>
                    <a:pt x="0" y="295275"/>
                  </a:lnTo>
                  <a:lnTo>
                    <a:pt x="209550" y="209550"/>
                  </a:lnTo>
                  <a:lnTo>
                    <a:pt x="295275" y="0"/>
                  </a:lnTo>
                  <a:close/>
                </a:path>
              </a:pathLst>
            </a:custGeom>
            <a:solidFill>
              <a:srgbClr val="000000"/>
            </a:solidFill>
            <a:ln w="9525" cap="flat">
              <a:solidFill>
                <a:schemeClr val="bg1"/>
              </a:solidFill>
              <a:prstDash val="solid"/>
              <a:miter/>
            </a:ln>
          </xdr:spPr>
          <xdr:txBody>
            <a:bodyPr rtlCol="0" anchor="ctr"/>
            <a:lstStyle/>
            <a:p>
              <a:endParaRPr lang="en-US"/>
            </a:p>
          </xdr:txBody>
        </xdr:sp>
        <xdr:sp macro="" textlink="">
          <xdr:nvSpPr>
            <xdr:cNvPr id="14" name="Freeform: Shape 13">
              <a:extLst>
                <a:ext uri="{FF2B5EF4-FFF2-40B4-BE49-F238E27FC236}">
                  <a16:creationId xmlns:a16="http://schemas.microsoft.com/office/drawing/2014/main" id="{D8001A75-8FFE-B5E2-7670-9633A85925A3}"/>
                </a:ext>
              </a:extLst>
            </xdr:cNvPr>
            <xdr:cNvSpPr/>
          </xdr:nvSpPr>
          <xdr:spPr>
            <a:xfrm>
              <a:off x="5743928" y="1425928"/>
              <a:ext cx="38100" cy="38100"/>
            </a:xfrm>
            <a:custGeom>
              <a:avLst/>
              <a:gdLst>
                <a:gd name="connsiteX0" fmla="*/ 38100 w 38100"/>
                <a:gd name="connsiteY0" fmla="*/ 19050 h 38100"/>
                <a:gd name="connsiteX1" fmla="*/ 19050 w 38100"/>
                <a:gd name="connsiteY1" fmla="*/ 38100 h 38100"/>
                <a:gd name="connsiteX2" fmla="*/ 0 w 38100"/>
                <a:gd name="connsiteY2" fmla="*/ 19050 h 38100"/>
                <a:gd name="connsiteX3" fmla="*/ 19050 w 38100"/>
                <a:gd name="connsiteY3" fmla="*/ 0 h 38100"/>
                <a:gd name="connsiteX4" fmla="*/ 38100 w 38100"/>
                <a:gd name="connsiteY4" fmla="*/ 19050 h 381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8100" h="38100">
                  <a:moveTo>
                    <a:pt x="38100" y="19050"/>
                  </a:moveTo>
                  <a:cubicBezTo>
                    <a:pt x="38100" y="29571"/>
                    <a:pt x="29571" y="38100"/>
                    <a:pt x="19050" y="38100"/>
                  </a:cubicBezTo>
                  <a:cubicBezTo>
                    <a:pt x="8529" y="38100"/>
                    <a:pt x="0" y="29571"/>
                    <a:pt x="0" y="19050"/>
                  </a:cubicBezTo>
                  <a:cubicBezTo>
                    <a:pt x="0" y="8529"/>
                    <a:pt x="8529" y="0"/>
                    <a:pt x="19050" y="0"/>
                  </a:cubicBezTo>
                  <a:cubicBezTo>
                    <a:pt x="29571" y="0"/>
                    <a:pt x="38100" y="8529"/>
                    <a:pt x="38100" y="19050"/>
                  </a:cubicBezTo>
                  <a:close/>
                </a:path>
              </a:pathLst>
            </a:custGeom>
            <a:solidFill>
              <a:srgbClr val="000000"/>
            </a:solidFill>
            <a:ln w="9525" cap="flat">
              <a:solidFill>
                <a:schemeClr val="bg1"/>
              </a:solidFill>
              <a:prstDash val="solid"/>
              <a:miter/>
            </a:ln>
          </xdr:spPr>
          <xdr:txBody>
            <a:bodyPr rtlCol="0" anchor="ctr"/>
            <a:lstStyle/>
            <a:p>
              <a:endParaRPr lang="en-US"/>
            </a:p>
          </xdr:txBody>
        </xdr:sp>
      </xdr:grpSp>
    </xdr:grpSp>
    <xdr:clientData/>
  </xdr:twoCellAnchor>
  <xdr:twoCellAnchor>
    <xdr:from>
      <xdr:col>20</xdr:col>
      <xdr:colOff>63500</xdr:colOff>
      <xdr:row>1</xdr:row>
      <xdr:rowOff>148166</xdr:rowOff>
    </xdr:from>
    <xdr:to>
      <xdr:col>20</xdr:col>
      <xdr:colOff>337820</xdr:colOff>
      <xdr:row>2</xdr:row>
      <xdr:rowOff>0</xdr:rowOff>
    </xdr:to>
    <xdr:sp macro="" textlink="">
      <xdr:nvSpPr>
        <xdr:cNvPr id="15" name="Rectangle: Rounded Corners 14">
          <a:extLst>
            <a:ext uri="{FF2B5EF4-FFF2-40B4-BE49-F238E27FC236}">
              <a16:creationId xmlns:a16="http://schemas.microsoft.com/office/drawing/2014/main" id="{404B6BB6-5D65-4C67-9E38-11497BF802E6}"/>
            </a:ext>
          </a:extLst>
        </xdr:cNvPr>
        <xdr:cNvSpPr/>
      </xdr:nvSpPr>
      <xdr:spPr>
        <a:xfrm>
          <a:off x="13327944" y="345722"/>
          <a:ext cx="274320" cy="49389"/>
        </a:xfrm>
        <a:prstGeom prst="roundRect">
          <a:avLst>
            <a:gd name="adj" fmla="val 49099"/>
          </a:avLst>
        </a:prstGeom>
        <a:solidFill>
          <a:srgbClr val="194AF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634998</xdr:colOff>
      <xdr:row>0</xdr:row>
      <xdr:rowOff>28224</xdr:rowOff>
    </xdr:from>
    <xdr:to>
      <xdr:col>6</xdr:col>
      <xdr:colOff>543274</xdr:colOff>
      <xdr:row>2</xdr:row>
      <xdr:rowOff>2</xdr:rowOff>
    </xdr:to>
    <xdr:sp macro="" textlink="">
      <xdr:nvSpPr>
        <xdr:cNvPr id="16" name="TextBox 15">
          <a:extLst>
            <a:ext uri="{FF2B5EF4-FFF2-40B4-BE49-F238E27FC236}">
              <a16:creationId xmlns:a16="http://schemas.microsoft.com/office/drawing/2014/main" id="{5D85B435-5E1D-4815-B775-1C6F3C418200}"/>
            </a:ext>
          </a:extLst>
        </xdr:cNvPr>
        <xdr:cNvSpPr txBox="1"/>
      </xdr:nvSpPr>
      <xdr:spPr>
        <a:xfrm>
          <a:off x="2081387" y="28224"/>
          <a:ext cx="2532943" cy="3668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1"/>
              </a:solidFill>
              <a:latin typeface="Avenir"/>
            </a:rPr>
            <a:t>FEEDLOT ECONOMICS</a:t>
          </a:r>
        </a:p>
      </xdr:txBody>
    </xdr:sp>
    <xdr:clientData/>
  </xdr:twoCellAnchor>
  <xdr:oneCellAnchor>
    <xdr:from>
      <xdr:col>12</xdr:col>
      <xdr:colOff>288330</xdr:colOff>
      <xdr:row>0</xdr:row>
      <xdr:rowOff>85146</xdr:rowOff>
    </xdr:from>
    <xdr:ext cx="1582293" cy="280205"/>
    <xdr:sp macro="[0]!Refresh_Pivot_Adeolu" textlink="">
      <xdr:nvSpPr>
        <xdr:cNvPr id="5" name="TextBox 4">
          <a:extLst>
            <a:ext uri="{FF2B5EF4-FFF2-40B4-BE49-F238E27FC236}">
              <a16:creationId xmlns:a16="http://schemas.microsoft.com/office/drawing/2014/main" id="{97237AE5-502D-41F4-8AC7-A99A4E3B85B1}"/>
            </a:ext>
          </a:extLst>
        </xdr:cNvPr>
        <xdr:cNvSpPr txBox="1"/>
      </xdr:nvSpPr>
      <xdr:spPr>
        <a:xfrm>
          <a:off x="8246997" y="85146"/>
          <a:ext cx="1582293"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0" cap="none" spc="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rPr>
            <a:t>Let the Magic Happen</a:t>
          </a:r>
        </a:p>
      </xdr:txBody>
    </xdr:sp>
    <xdr:clientData/>
  </xdr:oneCellAnchor>
  <xdr:twoCellAnchor editAs="oneCell">
    <xdr:from>
      <xdr:col>12</xdr:col>
      <xdr:colOff>14126</xdr:colOff>
      <xdr:row>0</xdr:row>
      <xdr:rowOff>63500</xdr:rowOff>
    </xdr:from>
    <xdr:to>
      <xdr:col>12</xdr:col>
      <xdr:colOff>344036</xdr:colOff>
      <xdr:row>1</xdr:row>
      <xdr:rowOff>183154</xdr:rowOff>
    </xdr:to>
    <xdr:pic macro="[0]!Refresh_Pivot_Adeolu">
      <xdr:nvPicPr>
        <xdr:cNvPr id="17" name="Graphic 16" descr="Repeat with solid fill">
          <a:extLst>
            <a:ext uri="{FF2B5EF4-FFF2-40B4-BE49-F238E27FC236}">
              <a16:creationId xmlns:a16="http://schemas.microsoft.com/office/drawing/2014/main" id="{8769ACAA-A99C-4095-8276-F81C3E348F2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972793" y="63500"/>
          <a:ext cx="329910" cy="329910"/>
        </a:xfrm>
        <a:prstGeom prst="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pic>
    <xdr:clientData/>
  </xdr:twoCellAnchor>
  <xdr:twoCellAnchor editAs="oneCell">
    <xdr:from>
      <xdr:col>0</xdr:col>
      <xdr:colOff>592664</xdr:colOff>
      <xdr:row>10</xdr:row>
      <xdr:rowOff>105840</xdr:rowOff>
    </xdr:from>
    <xdr:to>
      <xdr:col>5</xdr:col>
      <xdr:colOff>12214</xdr:colOff>
      <xdr:row>12</xdr:row>
      <xdr:rowOff>114500</xdr:rowOff>
    </xdr:to>
    <mc:AlternateContent xmlns:mc="http://schemas.openxmlformats.org/markup-compatibility/2006" xmlns:a14="http://schemas.microsoft.com/office/drawing/2010/main">
      <mc:Choice Requires="a14">
        <xdr:graphicFrame macro="">
          <xdr:nvGraphicFramePr>
            <xdr:cNvPr id="18" name="Year  2">
              <a:extLst>
                <a:ext uri="{FF2B5EF4-FFF2-40B4-BE49-F238E27FC236}">
                  <a16:creationId xmlns:a16="http://schemas.microsoft.com/office/drawing/2014/main" id="{1DFE6C1A-4525-4057-A7BF-B229BEFFDDB5}"/>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592664" y="2109618"/>
              <a:ext cx="2860708" cy="4037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543276</xdr:colOff>
      <xdr:row>12</xdr:row>
      <xdr:rowOff>98775</xdr:rowOff>
    </xdr:from>
    <xdr:to>
      <xdr:col>5</xdr:col>
      <xdr:colOff>16933</xdr:colOff>
      <xdr:row>19</xdr:row>
      <xdr:rowOff>134052</xdr:rowOff>
    </xdr:to>
    <xdr:grpSp>
      <xdr:nvGrpSpPr>
        <xdr:cNvPr id="20" name="Group 19">
          <a:extLst>
            <a:ext uri="{FF2B5EF4-FFF2-40B4-BE49-F238E27FC236}">
              <a16:creationId xmlns:a16="http://schemas.microsoft.com/office/drawing/2014/main" id="{CF171F3A-A6FB-42BA-8142-40CDB1E3C911}"/>
            </a:ext>
          </a:extLst>
        </xdr:cNvPr>
        <xdr:cNvGrpSpPr/>
      </xdr:nvGrpSpPr>
      <xdr:grpSpPr>
        <a:xfrm>
          <a:off x="540101" y="2512966"/>
          <a:ext cx="2889957" cy="1421164"/>
          <a:chOff x="406399" y="2758722"/>
          <a:chExt cx="2768601" cy="1418166"/>
        </a:xfrm>
      </xdr:grpSpPr>
      <xdr:sp macro="" textlink="">
        <xdr:nvSpPr>
          <xdr:cNvPr id="21" name="TextBox 20">
            <a:extLst>
              <a:ext uri="{FF2B5EF4-FFF2-40B4-BE49-F238E27FC236}">
                <a16:creationId xmlns:a16="http://schemas.microsoft.com/office/drawing/2014/main" id="{6BCF7680-48D9-CD08-3021-E3FBF7DFC376}"/>
              </a:ext>
            </a:extLst>
          </xdr:cNvPr>
          <xdr:cNvSpPr txBox="1"/>
        </xdr:nvSpPr>
        <xdr:spPr>
          <a:xfrm>
            <a:off x="437443" y="2758722"/>
            <a:ext cx="2737557" cy="5432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latin typeface="Avenir Next LT Pro Light" panose="020B0304020202020204" pitchFamily="34" charset="0"/>
              </a:rPr>
              <a:t>Total Revenue</a:t>
            </a:r>
          </a:p>
        </xdr:txBody>
      </xdr:sp>
      <xdr:sp macro="" textlink="'Pivot Tables'!R4">
        <xdr:nvSpPr>
          <xdr:cNvPr id="22" name="TextBox 21">
            <a:extLst>
              <a:ext uri="{FF2B5EF4-FFF2-40B4-BE49-F238E27FC236}">
                <a16:creationId xmlns:a16="http://schemas.microsoft.com/office/drawing/2014/main" id="{67663F09-59B0-A1DA-2488-F45AF546928D}"/>
              </a:ext>
            </a:extLst>
          </xdr:cNvPr>
          <xdr:cNvSpPr txBox="1"/>
        </xdr:nvSpPr>
        <xdr:spPr>
          <a:xfrm>
            <a:off x="406399" y="3139723"/>
            <a:ext cx="2701939" cy="670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F374110-9046-4AE3-A738-CFE5430922D6}" type="TxLink">
              <a:rPr lang="en-US" sz="3500" b="0" i="0" u="none" strike="noStrike">
                <a:solidFill>
                  <a:schemeClr val="accent4">
                    <a:lumMod val="60000"/>
                    <a:lumOff val="40000"/>
                  </a:schemeClr>
                </a:solidFill>
                <a:latin typeface="Agency FB" panose="020B0503020202020204" pitchFamily="34" charset="0"/>
                <a:ea typeface="ADLaM Display" panose="02010000000000000000" pitchFamily="2" charset="0"/>
                <a:cs typeface="Angsana New" panose="020B0502040204020203" pitchFamily="18" charset="-34"/>
              </a:rPr>
              <a:pPr/>
              <a:t>$2,307,410</a:t>
            </a:fld>
            <a:endParaRPr lang="en-US" sz="3500" b="0">
              <a:solidFill>
                <a:schemeClr val="accent4">
                  <a:lumMod val="60000"/>
                  <a:lumOff val="40000"/>
                </a:schemeClr>
              </a:solidFill>
              <a:latin typeface="Agency FB" panose="020B0503020202020204" pitchFamily="34" charset="0"/>
              <a:ea typeface="ADLaM Display" panose="02010000000000000000" pitchFamily="2" charset="0"/>
              <a:cs typeface="Angsana New" panose="020B0502040204020203" pitchFamily="18" charset="-34"/>
            </a:endParaRPr>
          </a:p>
        </xdr:txBody>
      </xdr:sp>
      <xdr:sp macro="" textlink="'Pivot Tables'!Q4">
        <xdr:nvSpPr>
          <xdr:cNvPr id="23" name="TextBox 22">
            <a:extLst>
              <a:ext uri="{FF2B5EF4-FFF2-40B4-BE49-F238E27FC236}">
                <a16:creationId xmlns:a16="http://schemas.microsoft.com/office/drawing/2014/main" id="{75F7F19D-9485-E6B0-C384-0FEA7F73ED1D}"/>
              </a:ext>
            </a:extLst>
          </xdr:cNvPr>
          <xdr:cNvSpPr txBox="1"/>
        </xdr:nvSpPr>
        <xdr:spPr>
          <a:xfrm>
            <a:off x="1603022" y="3852333"/>
            <a:ext cx="1519501" cy="324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BDD8EE7-E8B9-4C2F-8DF2-7709C1B1694B}" type="TxLink">
              <a:rPr lang="en-US" sz="1600" b="0" i="0" u="none" strike="noStrike">
                <a:solidFill>
                  <a:schemeClr val="accent4">
                    <a:lumMod val="60000"/>
                    <a:lumOff val="40000"/>
                  </a:schemeClr>
                </a:solidFill>
                <a:latin typeface="Agency FB" panose="020B0503020202020204" pitchFamily="34" charset="0"/>
                <a:ea typeface="Calibri"/>
                <a:cs typeface="Calibri"/>
              </a:rPr>
              <a:pPr/>
              <a:t>$2,124,956</a:t>
            </a:fld>
            <a:endParaRPr lang="en-US" sz="2000" b="0">
              <a:solidFill>
                <a:schemeClr val="accent4">
                  <a:lumMod val="60000"/>
                  <a:lumOff val="40000"/>
                </a:schemeClr>
              </a:solidFill>
              <a:latin typeface="Agency FB" panose="020B0503020202020204" pitchFamily="34" charset="0"/>
            </a:endParaRPr>
          </a:p>
        </xdr:txBody>
      </xdr:sp>
      <xdr:sp macro="" textlink="">
        <xdr:nvSpPr>
          <xdr:cNvPr id="24" name="TextBox 23">
            <a:extLst>
              <a:ext uri="{FF2B5EF4-FFF2-40B4-BE49-F238E27FC236}">
                <a16:creationId xmlns:a16="http://schemas.microsoft.com/office/drawing/2014/main" id="{903528C7-752F-2FC9-F8C3-B863323D4E2E}"/>
              </a:ext>
            </a:extLst>
          </xdr:cNvPr>
          <xdr:cNvSpPr txBox="1"/>
        </xdr:nvSpPr>
        <xdr:spPr>
          <a:xfrm>
            <a:off x="448732" y="3894667"/>
            <a:ext cx="1435101" cy="265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solidFill>
                <a:latin typeface="Avenir Next LT Pro Light" panose="020B0304020202020204" pitchFamily="34" charset="0"/>
              </a:rPr>
              <a:t>Total Expenses</a:t>
            </a:r>
          </a:p>
        </xdr:txBody>
      </xdr:sp>
    </xdr:grpSp>
    <xdr:clientData/>
  </xdr:twoCellAnchor>
  <xdr:twoCellAnchor>
    <xdr:from>
      <xdr:col>1</xdr:col>
      <xdr:colOff>0</xdr:colOff>
      <xdr:row>19</xdr:row>
      <xdr:rowOff>190498</xdr:rowOff>
    </xdr:from>
    <xdr:to>
      <xdr:col>3</xdr:col>
      <xdr:colOff>642050</xdr:colOff>
      <xdr:row>24</xdr:row>
      <xdr:rowOff>77609</xdr:rowOff>
    </xdr:to>
    <xdr:grpSp>
      <xdr:nvGrpSpPr>
        <xdr:cNvPr id="25" name="Group 24">
          <a:extLst>
            <a:ext uri="{FF2B5EF4-FFF2-40B4-BE49-F238E27FC236}">
              <a16:creationId xmlns:a16="http://schemas.microsoft.com/office/drawing/2014/main" id="{7AD1E97F-7106-4076-8238-775BEC1EE0B9}"/>
            </a:ext>
          </a:extLst>
        </xdr:cNvPr>
        <xdr:cNvGrpSpPr/>
      </xdr:nvGrpSpPr>
      <xdr:grpSpPr>
        <a:xfrm>
          <a:off x="654844" y="3990576"/>
          <a:ext cx="2087469" cy="879299"/>
          <a:chOff x="578557" y="4007554"/>
          <a:chExt cx="1968495" cy="874889"/>
        </a:xfrm>
      </xdr:grpSpPr>
      <xdr:sp macro="" textlink="">
        <xdr:nvSpPr>
          <xdr:cNvPr id="26" name="Rectangle: Rounded Corners 25">
            <a:extLst>
              <a:ext uri="{FF2B5EF4-FFF2-40B4-BE49-F238E27FC236}">
                <a16:creationId xmlns:a16="http://schemas.microsoft.com/office/drawing/2014/main" id="{68F6545A-47C8-4ADB-F49C-7A4C31B7721F}"/>
              </a:ext>
            </a:extLst>
          </xdr:cNvPr>
          <xdr:cNvSpPr/>
        </xdr:nvSpPr>
        <xdr:spPr>
          <a:xfrm>
            <a:off x="578557" y="4007554"/>
            <a:ext cx="1721553" cy="874889"/>
          </a:xfrm>
          <a:prstGeom prst="roundRect">
            <a:avLst>
              <a:gd name="adj" fmla="val 18645"/>
            </a:avLst>
          </a:prstGeom>
          <a:solidFill>
            <a:srgbClr val="070E25"/>
          </a:solidFill>
          <a:ln>
            <a:solidFill>
              <a:schemeClr val="bg2">
                <a:lumMod val="1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TextBox 26">
            <a:extLst>
              <a:ext uri="{FF2B5EF4-FFF2-40B4-BE49-F238E27FC236}">
                <a16:creationId xmlns:a16="http://schemas.microsoft.com/office/drawing/2014/main" id="{503594E5-EFB0-CBF1-0D8B-AD2DF6447E6B}"/>
              </a:ext>
            </a:extLst>
          </xdr:cNvPr>
          <xdr:cNvSpPr txBox="1"/>
        </xdr:nvSpPr>
        <xdr:spPr>
          <a:xfrm>
            <a:off x="593765" y="4374457"/>
            <a:ext cx="1480567" cy="303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solidFill>
                <a:latin typeface="Avenir Next LT Pro Light" panose="020B0304020202020204" pitchFamily="34" charset="0"/>
              </a:rPr>
              <a:t>Production Cost</a:t>
            </a:r>
            <a:r>
              <a:rPr lang="en-US" sz="1000" baseline="0">
                <a:solidFill>
                  <a:schemeClr val="bg1"/>
                </a:solidFill>
                <a:latin typeface="Avenir Next LT Pro Light" panose="020B0304020202020204" pitchFamily="34" charset="0"/>
              </a:rPr>
              <a:t>:</a:t>
            </a:r>
            <a:endParaRPr lang="en-US" sz="1000">
              <a:solidFill>
                <a:schemeClr val="bg1"/>
              </a:solidFill>
              <a:latin typeface="Avenir Next LT Pro Light" panose="020B0304020202020204" pitchFamily="34" charset="0"/>
            </a:endParaRPr>
          </a:p>
        </xdr:txBody>
      </xdr:sp>
      <xdr:sp macro="" textlink="">
        <xdr:nvSpPr>
          <xdr:cNvPr id="28" name="TextBox 27">
            <a:extLst>
              <a:ext uri="{FF2B5EF4-FFF2-40B4-BE49-F238E27FC236}">
                <a16:creationId xmlns:a16="http://schemas.microsoft.com/office/drawing/2014/main" id="{394A11B4-AB5F-7D04-902A-2BFFC6C1E7AB}"/>
              </a:ext>
            </a:extLst>
          </xdr:cNvPr>
          <xdr:cNvSpPr txBox="1"/>
        </xdr:nvSpPr>
        <xdr:spPr>
          <a:xfrm>
            <a:off x="590945" y="4562130"/>
            <a:ext cx="1363444" cy="285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solidFill>
                <a:latin typeface="Avenir Next LT Pro Light" panose="020B0304020202020204" pitchFamily="34" charset="0"/>
              </a:rPr>
              <a:t>Gross Profit</a:t>
            </a:r>
            <a:r>
              <a:rPr lang="en-US" sz="1000" baseline="0">
                <a:solidFill>
                  <a:schemeClr val="bg1"/>
                </a:solidFill>
                <a:latin typeface="Avenir Next LT Pro Light" panose="020B0304020202020204" pitchFamily="34" charset="0"/>
              </a:rPr>
              <a:t>:</a:t>
            </a:r>
            <a:endParaRPr lang="en-US" sz="1000">
              <a:solidFill>
                <a:schemeClr val="bg1"/>
              </a:solidFill>
              <a:latin typeface="Avenir Next LT Pro Light" panose="020B0304020202020204" pitchFamily="34" charset="0"/>
            </a:endParaRPr>
          </a:p>
        </xdr:txBody>
      </xdr:sp>
      <xdr:sp macro="" textlink="'Pivot Tables'!BK4">
        <xdr:nvSpPr>
          <xdr:cNvPr id="29" name="TextBox 28">
            <a:extLst>
              <a:ext uri="{FF2B5EF4-FFF2-40B4-BE49-F238E27FC236}">
                <a16:creationId xmlns:a16="http://schemas.microsoft.com/office/drawing/2014/main" id="{DFDF1C0D-81BD-D8A4-70E7-7925E4CAC773}"/>
              </a:ext>
            </a:extLst>
          </xdr:cNvPr>
          <xdr:cNvSpPr txBox="1"/>
        </xdr:nvSpPr>
        <xdr:spPr>
          <a:xfrm>
            <a:off x="1663867" y="4572004"/>
            <a:ext cx="883185" cy="275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FBEEC0B-A57E-41DB-B86D-8B3A965A77C8}" type="TxLink">
              <a:rPr lang="en-US" sz="1100" b="1" i="0" u="none" strike="noStrike">
                <a:solidFill>
                  <a:schemeClr val="bg1"/>
                </a:solidFill>
                <a:latin typeface="Avenir Next LT Pro" panose="020B0504020202020204" pitchFamily="34" charset="0"/>
                <a:ea typeface="Calibri"/>
                <a:cs typeface="Calibri"/>
              </a:rPr>
              <a:pPr/>
              <a:t>$182</a:t>
            </a:fld>
            <a:endParaRPr lang="en-US" sz="1050" b="1">
              <a:solidFill>
                <a:schemeClr val="bg1"/>
              </a:solidFill>
              <a:latin typeface="Avenir Next LT Pro" panose="020B0504020202020204" pitchFamily="34" charset="0"/>
              <a:cs typeface="Arial" panose="020B0604020202020204" pitchFamily="34" charset="0"/>
            </a:endParaRPr>
          </a:p>
        </xdr:txBody>
      </xdr:sp>
      <xdr:sp macro="" textlink="">
        <xdr:nvSpPr>
          <xdr:cNvPr id="30" name="TextBox 29">
            <a:extLst>
              <a:ext uri="{FF2B5EF4-FFF2-40B4-BE49-F238E27FC236}">
                <a16:creationId xmlns:a16="http://schemas.microsoft.com/office/drawing/2014/main" id="{EB20CC85-CF70-D070-6160-36B751C970D9}"/>
              </a:ext>
            </a:extLst>
          </xdr:cNvPr>
          <xdr:cNvSpPr txBox="1"/>
        </xdr:nvSpPr>
        <xdr:spPr>
          <a:xfrm>
            <a:off x="964889" y="4018848"/>
            <a:ext cx="926001" cy="235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u="sng">
                <a:solidFill>
                  <a:schemeClr val="bg1"/>
                </a:solidFill>
                <a:latin typeface="Avenir Next LT Pro Light" panose="020B0304020202020204" pitchFamily="34" charset="0"/>
              </a:rPr>
              <a:t>Per Head</a:t>
            </a:r>
          </a:p>
        </xdr:txBody>
      </xdr:sp>
      <xdr:sp macro="" textlink="'Pivot Tables'!BJ4">
        <xdr:nvSpPr>
          <xdr:cNvPr id="31" name="TextBox 30">
            <a:extLst>
              <a:ext uri="{FF2B5EF4-FFF2-40B4-BE49-F238E27FC236}">
                <a16:creationId xmlns:a16="http://schemas.microsoft.com/office/drawing/2014/main" id="{5BE4EBB5-DF11-0D99-CF6A-D4B61EC7BD84}"/>
              </a:ext>
            </a:extLst>
          </xdr:cNvPr>
          <xdr:cNvSpPr txBox="1"/>
        </xdr:nvSpPr>
        <xdr:spPr>
          <a:xfrm>
            <a:off x="1646933" y="4364572"/>
            <a:ext cx="883185" cy="275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AECF7CD-39D9-424B-A72E-40CC30FB39AF}" type="TxLink">
              <a:rPr lang="en-US" sz="1100" b="1" i="0" u="none" strike="noStrike">
                <a:solidFill>
                  <a:schemeClr val="bg1"/>
                </a:solidFill>
                <a:latin typeface="Avenir Next LT Pro" panose="020B0504020202020204" pitchFamily="34" charset="0"/>
                <a:ea typeface="Calibri"/>
                <a:cs typeface="Calibri"/>
              </a:rPr>
              <a:pPr/>
              <a:t>$2,125</a:t>
            </a:fld>
            <a:endParaRPr lang="en-US" sz="1050" b="1">
              <a:solidFill>
                <a:schemeClr val="bg1"/>
              </a:solidFill>
              <a:latin typeface="Avenir Next LT Pro" panose="020B0504020202020204" pitchFamily="34" charset="0"/>
            </a:endParaRPr>
          </a:p>
        </xdr:txBody>
      </xdr:sp>
    </xdr:grpSp>
    <xdr:clientData/>
  </xdr:twoCellAnchor>
  <xdr:twoCellAnchor>
    <xdr:from>
      <xdr:col>0</xdr:col>
      <xdr:colOff>479774</xdr:colOff>
      <xdr:row>24</xdr:row>
      <xdr:rowOff>112885</xdr:rowOff>
    </xdr:from>
    <xdr:to>
      <xdr:col>4</xdr:col>
      <xdr:colOff>412041</xdr:colOff>
      <xdr:row>29</xdr:row>
      <xdr:rowOff>85510</xdr:rowOff>
    </xdr:to>
    <xdr:graphicFrame macro="">
      <xdr:nvGraphicFramePr>
        <xdr:cNvPr id="32" name="Chart 31">
          <a:extLst>
            <a:ext uri="{FF2B5EF4-FFF2-40B4-BE49-F238E27FC236}">
              <a16:creationId xmlns:a16="http://schemas.microsoft.com/office/drawing/2014/main" id="{38ECCAAA-9BF9-43F3-ABCD-BC50EB5F86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395106</xdr:colOff>
      <xdr:row>3</xdr:row>
      <xdr:rowOff>56447</xdr:rowOff>
    </xdr:from>
    <xdr:to>
      <xdr:col>6</xdr:col>
      <xdr:colOff>221442</xdr:colOff>
      <xdr:row>7</xdr:row>
      <xdr:rowOff>167251</xdr:rowOff>
    </xdr:to>
    <xdr:sp macro="" textlink="">
      <xdr:nvSpPr>
        <xdr:cNvPr id="19" name="TextBox 18">
          <a:extLst>
            <a:ext uri="{FF2B5EF4-FFF2-40B4-BE49-F238E27FC236}">
              <a16:creationId xmlns:a16="http://schemas.microsoft.com/office/drawing/2014/main" id="{A9C25B39-2F16-44C6-85FA-C937ADAFE30F}"/>
            </a:ext>
          </a:extLst>
        </xdr:cNvPr>
        <xdr:cNvSpPr txBox="1"/>
      </xdr:nvSpPr>
      <xdr:spPr>
        <a:xfrm>
          <a:off x="395106" y="649114"/>
          <a:ext cx="3805669" cy="901026"/>
        </a:xfrm>
        <a:prstGeom prst="rect">
          <a:avLst/>
        </a:prstGeom>
        <a:noFill/>
        <a:ln w="9525" cmpd="sng">
          <a:noFill/>
        </a:ln>
        <a:effectLst>
          <a:glow rad="63500">
            <a:schemeClr val="accent3">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aseline="0">
              <a:ln>
                <a:noFill/>
              </a:ln>
              <a:solidFill>
                <a:srgbClr val="98F8F2"/>
              </a:solidFill>
              <a:effectLst>
                <a:glow rad="177800">
                  <a:srgbClr val="194AFE">
                    <a:alpha val="55000"/>
                  </a:srgbClr>
                </a:glow>
              </a:effectLst>
              <a:latin typeface="Amasis MT Pro Black" panose="020F0502020204030204" pitchFamily="18" charset="0"/>
            </a:rPr>
            <a:t>Visualizing cost of production and potential returns for Texan Feedlots</a:t>
          </a:r>
          <a:endParaRPr lang="en-US" sz="1600">
            <a:ln>
              <a:noFill/>
            </a:ln>
            <a:solidFill>
              <a:srgbClr val="98F8F2"/>
            </a:solidFill>
            <a:effectLst>
              <a:glow rad="177800">
                <a:srgbClr val="194AFE">
                  <a:alpha val="55000"/>
                </a:srgbClr>
              </a:glow>
            </a:effectLst>
            <a:latin typeface="Amasis MT Pro Black" panose="020F0502020204030204" pitchFamily="18" charset="0"/>
          </a:endParaRPr>
        </a:p>
      </xdr:txBody>
    </xdr:sp>
    <xdr:clientData/>
  </xdr:twoCellAnchor>
  <xdr:twoCellAnchor>
    <xdr:from>
      <xdr:col>4</xdr:col>
      <xdr:colOff>366889</xdr:colOff>
      <xdr:row>5</xdr:row>
      <xdr:rowOff>95754</xdr:rowOff>
    </xdr:from>
    <xdr:to>
      <xdr:col>22</xdr:col>
      <xdr:colOff>412311</xdr:colOff>
      <xdr:row>38</xdr:row>
      <xdr:rowOff>79375</xdr:rowOff>
    </xdr:to>
    <xdr:grpSp>
      <xdr:nvGrpSpPr>
        <xdr:cNvPr id="96" name="Group 95">
          <a:extLst>
            <a:ext uri="{FF2B5EF4-FFF2-40B4-BE49-F238E27FC236}">
              <a16:creationId xmlns:a16="http://schemas.microsoft.com/office/drawing/2014/main" id="{4F475476-9C46-F8B0-84E9-3C6C4EBE8582}"/>
            </a:ext>
          </a:extLst>
        </xdr:cNvPr>
        <xdr:cNvGrpSpPr/>
      </xdr:nvGrpSpPr>
      <xdr:grpSpPr>
        <a:xfrm>
          <a:off x="3128345" y="1087942"/>
          <a:ext cx="11826260" cy="6564999"/>
          <a:chOff x="3125611" y="1083532"/>
          <a:chExt cx="13234276" cy="6914948"/>
        </a:xfrm>
      </xdr:grpSpPr>
      <xdr:graphicFrame macro="">
        <xdr:nvGraphicFramePr>
          <xdr:cNvPr id="33" name="Chart 32">
            <a:extLst>
              <a:ext uri="{FF2B5EF4-FFF2-40B4-BE49-F238E27FC236}">
                <a16:creationId xmlns:a16="http://schemas.microsoft.com/office/drawing/2014/main" id="{CD427F37-ACA1-41B6-887E-C130A77FE6B7}"/>
              </a:ext>
            </a:extLst>
          </xdr:cNvPr>
          <xdr:cNvGraphicFramePr>
            <a:graphicFrameLocks/>
          </xdr:cNvGraphicFramePr>
        </xdr:nvGraphicFramePr>
        <xdr:xfrm>
          <a:off x="3125611" y="1083532"/>
          <a:ext cx="13116567" cy="6914948"/>
        </xdr:xfrm>
        <a:graphic>
          <a:graphicData uri="http://schemas.openxmlformats.org/drawingml/2006/chart">
            <c:chart xmlns:c="http://schemas.openxmlformats.org/drawingml/2006/chart" xmlns:r="http://schemas.openxmlformats.org/officeDocument/2006/relationships" r:id="rId10"/>
          </a:graphicData>
        </a:graphic>
      </xdr:graphicFrame>
      <xdr:sp macro="" textlink="">
        <xdr:nvSpPr>
          <xdr:cNvPr id="35" name="TextBox 34">
            <a:extLst>
              <a:ext uri="{FF2B5EF4-FFF2-40B4-BE49-F238E27FC236}">
                <a16:creationId xmlns:a16="http://schemas.microsoft.com/office/drawing/2014/main" id="{1BD1A880-E9CC-4656-ACFD-47DFB5CCC263}"/>
              </a:ext>
            </a:extLst>
          </xdr:cNvPr>
          <xdr:cNvSpPr txBox="1"/>
        </xdr:nvSpPr>
        <xdr:spPr>
          <a:xfrm>
            <a:off x="5579395" y="1515435"/>
            <a:ext cx="940556" cy="191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1">
                <a:solidFill>
                  <a:schemeClr val="bg2">
                    <a:lumMod val="10000"/>
                  </a:schemeClr>
                </a:solidFill>
                <a:latin typeface="Avenir Next LT Pro" panose="020B0504020202020204" pitchFamily="34" charset="0"/>
              </a:rPr>
              <a:t>Death</a:t>
            </a:r>
            <a:r>
              <a:rPr lang="en-US" sz="800" b="1" baseline="0">
                <a:solidFill>
                  <a:schemeClr val="bg2">
                    <a:lumMod val="10000"/>
                  </a:schemeClr>
                </a:solidFill>
                <a:latin typeface="Avenir Next LT Pro" panose="020B0504020202020204" pitchFamily="34" charset="0"/>
              </a:rPr>
              <a:t> Loss</a:t>
            </a:r>
            <a:endParaRPr lang="en-US" sz="800" b="1">
              <a:solidFill>
                <a:schemeClr val="bg2">
                  <a:lumMod val="10000"/>
                </a:schemeClr>
              </a:solidFill>
              <a:latin typeface="Avenir Next LT Pro" panose="020B0504020202020204" pitchFamily="34" charset="0"/>
            </a:endParaRPr>
          </a:p>
        </xdr:txBody>
      </xdr:sp>
      <xdr:sp macro="" textlink="">
        <xdr:nvSpPr>
          <xdr:cNvPr id="36" name="TextBox 35">
            <a:extLst>
              <a:ext uri="{FF2B5EF4-FFF2-40B4-BE49-F238E27FC236}">
                <a16:creationId xmlns:a16="http://schemas.microsoft.com/office/drawing/2014/main" id="{5DC91432-147C-4253-B3B7-4D1DF985AE23}"/>
              </a:ext>
            </a:extLst>
          </xdr:cNvPr>
          <xdr:cNvSpPr txBox="1"/>
        </xdr:nvSpPr>
        <xdr:spPr>
          <a:xfrm>
            <a:off x="15246040" y="1513824"/>
            <a:ext cx="854074" cy="210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1">
                <a:solidFill>
                  <a:schemeClr val="bg2">
                    <a:lumMod val="10000"/>
                  </a:schemeClr>
                </a:solidFill>
                <a:latin typeface="Avenir Next LT Pro" panose="020B0504020202020204" pitchFamily="34" charset="0"/>
              </a:rPr>
              <a:t>Veterinary</a:t>
            </a:r>
          </a:p>
        </xdr:txBody>
      </xdr:sp>
      <xdr:sp macro="" textlink="">
        <xdr:nvSpPr>
          <xdr:cNvPr id="37" name="TextBox 36">
            <a:extLst>
              <a:ext uri="{FF2B5EF4-FFF2-40B4-BE49-F238E27FC236}">
                <a16:creationId xmlns:a16="http://schemas.microsoft.com/office/drawing/2014/main" id="{1E480A53-B637-48A4-8C05-D0F7E8414868}"/>
              </a:ext>
            </a:extLst>
          </xdr:cNvPr>
          <xdr:cNvSpPr txBox="1"/>
        </xdr:nvSpPr>
        <xdr:spPr>
          <a:xfrm>
            <a:off x="9324805" y="1517048"/>
            <a:ext cx="2054317" cy="264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1">
                <a:solidFill>
                  <a:sysClr val="windowText" lastClr="000000"/>
                </a:solidFill>
                <a:latin typeface="Avenir Next LT Pro" panose="020B0504020202020204" pitchFamily="34" charset="0"/>
              </a:rPr>
              <a:t>Marketing/Transportation</a:t>
            </a:r>
          </a:p>
        </xdr:txBody>
      </xdr:sp>
      <xdr:sp macro="" textlink="">
        <xdr:nvSpPr>
          <xdr:cNvPr id="38" name="TextBox 37">
            <a:extLst>
              <a:ext uri="{FF2B5EF4-FFF2-40B4-BE49-F238E27FC236}">
                <a16:creationId xmlns:a16="http://schemas.microsoft.com/office/drawing/2014/main" id="{00A8602D-ED0A-48DE-A895-738487B35FA6}"/>
              </a:ext>
            </a:extLst>
          </xdr:cNvPr>
          <xdr:cNvSpPr txBox="1"/>
        </xdr:nvSpPr>
        <xdr:spPr>
          <a:xfrm>
            <a:off x="3899540" y="2189475"/>
            <a:ext cx="1194945" cy="1970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1">
                <a:solidFill>
                  <a:schemeClr val="bg1"/>
                </a:solidFill>
                <a:latin typeface="Avenir Next LT Pro" panose="020B0504020202020204" pitchFamily="34" charset="0"/>
              </a:rPr>
              <a:t>Fuel &amp; Repairs</a:t>
            </a:r>
          </a:p>
        </xdr:txBody>
      </xdr:sp>
      <xdr:sp macro="" textlink="">
        <xdr:nvSpPr>
          <xdr:cNvPr id="39" name="TextBox 38">
            <a:extLst>
              <a:ext uri="{FF2B5EF4-FFF2-40B4-BE49-F238E27FC236}">
                <a16:creationId xmlns:a16="http://schemas.microsoft.com/office/drawing/2014/main" id="{0590C00F-3401-49B7-94A7-404A3C78DF8A}"/>
              </a:ext>
            </a:extLst>
          </xdr:cNvPr>
          <xdr:cNvSpPr txBox="1"/>
        </xdr:nvSpPr>
        <xdr:spPr>
          <a:xfrm>
            <a:off x="4038595" y="1174601"/>
            <a:ext cx="1189779" cy="225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1">
                <a:solidFill>
                  <a:schemeClr val="bg1"/>
                </a:solidFill>
                <a:latin typeface="Avenir Next LT Pro" panose="020B0504020202020204" pitchFamily="34" charset="0"/>
              </a:rPr>
              <a:t>Barn/Office</a:t>
            </a:r>
            <a:r>
              <a:rPr lang="en-US" sz="800" b="1" baseline="0">
                <a:solidFill>
                  <a:schemeClr val="bg1"/>
                </a:solidFill>
                <a:latin typeface="Avenir Next LT Pro" panose="020B0504020202020204" pitchFamily="34" charset="0"/>
              </a:rPr>
              <a:t> Supplies</a:t>
            </a:r>
            <a:endParaRPr lang="en-US" sz="800" b="1">
              <a:solidFill>
                <a:schemeClr val="bg1"/>
              </a:solidFill>
              <a:latin typeface="Avenir Next LT Pro" panose="020B0504020202020204" pitchFamily="34" charset="0"/>
            </a:endParaRPr>
          </a:p>
        </xdr:txBody>
      </xdr:sp>
      <xdr:sp macro="" textlink="">
        <xdr:nvSpPr>
          <xdr:cNvPr id="40" name="TextBox 39">
            <a:extLst>
              <a:ext uri="{FF2B5EF4-FFF2-40B4-BE49-F238E27FC236}">
                <a16:creationId xmlns:a16="http://schemas.microsoft.com/office/drawing/2014/main" id="{A6081BE8-3E37-4DBB-AFB0-C3D01DC9ED2A}"/>
              </a:ext>
            </a:extLst>
          </xdr:cNvPr>
          <xdr:cNvSpPr txBox="1"/>
        </xdr:nvSpPr>
        <xdr:spPr>
          <a:xfrm>
            <a:off x="7013005" y="1205698"/>
            <a:ext cx="908783" cy="194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1">
                <a:solidFill>
                  <a:schemeClr val="bg1"/>
                </a:solidFill>
                <a:latin typeface="Avenir Next LT Pro" panose="020B0504020202020204" pitchFamily="34" charset="0"/>
              </a:rPr>
              <a:t>Insurance</a:t>
            </a:r>
          </a:p>
        </xdr:txBody>
      </xdr:sp>
      <xdr:sp macro="" textlink="">
        <xdr:nvSpPr>
          <xdr:cNvPr id="41" name="TextBox 40">
            <a:extLst>
              <a:ext uri="{FF2B5EF4-FFF2-40B4-BE49-F238E27FC236}">
                <a16:creationId xmlns:a16="http://schemas.microsoft.com/office/drawing/2014/main" id="{9FF2D6A8-A689-4084-A747-567A2F4862DD}"/>
              </a:ext>
            </a:extLst>
          </xdr:cNvPr>
          <xdr:cNvSpPr txBox="1"/>
        </xdr:nvSpPr>
        <xdr:spPr>
          <a:xfrm>
            <a:off x="13813243" y="1521027"/>
            <a:ext cx="633221" cy="2638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1">
                <a:solidFill>
                  <a:schemeClr val="bg2">
                    <a:lumMod val="10000"/>
                  </a:schemeClr>
                </a:solidFill>
                <a:latin typeface="Avenir Next LT Pro" panose="020B0504020202020204" pitchFamily="34" charset="0"/>
              </a:rPr>
              <a:t>Straw</a:t>
            </a:r>
          </a:p>
        </xdr:txBody>
      </xdr:sp>
      <xdr:sp macro="" textlink="">
        <xdr:nvSpPr>
          <xdr:cNvPr id="42" name="TextBox 41">
            <a:extLst>
              <a:ext uri="{FF2B5EF4-FFF2-40B4-BE49-F238E27FC236}">
                <a16:creationId xmlns:a16="http://schemas.microsoft.com/office/drawing/2014/main" id="{9CA53F95-213F-4415-967D-5EE44F6A2858}"/>
              </a:ext>
            </a:extLst>
          </xdr:cNvPr>
          <xdr:cNvSpPr txBox="1"/>
        </xdr:nvSpPr>
        <xdr:spPr>
          <a:xfrm>
            <a:off x="6971495" y="2140934"/>
            <a:ext cx="1144713" cy="2441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1">
                <a:solidFill>
                  <a:schemeClr val="bg1"/>
                </a:solidFill>
                <a:latin typeface="Avenir Next LT Pro" panose="020B0504020202020204" pitchFamily="34" charset="0"/>
              </a:rPr>
              <a:t>Manure</a:t>
            </a:r>
            <a:r>
              <a:rPr lang="en-US" sz="800" b="1" baseline="0">
                <a:solidFill>
                  <a:schemeClr val="bg1"/>
                </a:solidFill>
                <a:latin typeface="Avenir Next LT Pro" panose="020B0504020202020204" pitchFamily="34" charset="0"/>
              </a:rPr>
              <a:t> Removal</a:t>
            </a:r>
            <a:endParaRPr lang="en-US" sz="800" b="1">
              <a:solidFill>
                <a:schemeClr val="bg1"/>
              </a:solidFill>
              <a:latin typeface="Avenir Next LT Pro" panose="020B0504020202020204" pitchFamily="34" charset="0"/>
            </a:endParaRPr>
          </a:p>
        </xdr:txBody>
      </xdr:sp>
      <xdr:sp macro="" textlink="">
        <xdr:nvSpPr>
          <xdr:cNvPr id="43" name="TextBox 42">
            <a:extLst>
              <a:ext uri="{FF2B5EF4-FFF2-40B4-BE49-F238E27FC236}">
                <a16:creationId xmlns:a16="http://schemas.microsoft.com/office/drawing/2014/main" id="{570E3BB5-12C0-4E30-8F62-25219D2944CA}"/>
              </a:ext>
            </a:extLst>
          </xdr:cNvPr>
          <xdr:cNvSpPr txBox="1"/>
        </xdr:nvSpPr>
        <xdr:spPr>
          <a:xfrm>
            <a:off x="14601853" y="4831365"/>
            <a:ext cx="854078" cy="21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1">
                <a:solidFill>
                  <a:schemeClr val="bg1"/>
                </a:solidFill>
                <a:latin typeface="Avenir Next LT Pro" panose="020B0504020202020204" pitchFamily="34" charset="0"/>
              </a:rPr>
              <a:t>Investment</a:t>
            </a:r>
          </a:p>
        </xdr:txBody>
      </xdr:sp>
      <xdr:sp macro="" textlink="">
        <xdr:nvSpPr>
          <xdr:cNvPr id="45" name="TextBox 44">
            <a:extLst>
              <a:ext uri="{FF2B5EF4-FFF2-40B4-BE49-F238E27FC236}">
                <a16:creationId xmlns:a16="http://schemas.microsoft.com/office/drawing/2014/main" id="{361C19E2-F553-44D6-8DD9-A061B01DD029}"/>
              </a:ext>
            </a:extLst>
          </xdr:cNvPr>
          <xdr:cNvSpPr txBox="1"/>
        </xdr:nvSpPr>
        <xdr:spPr>
          <a:xfrm>
            <a:off x="8706295" y="4820402"/>
            <a:ext cx="1050478" cy="188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1">
                <a:solidFill>
                  <a:schemeClr val="bg2">
                    <a:lumMod val="10000"/>
                  </a:schemeClr>
                </a:solidFill>
                <a:latin typeface="Avenir Next LT Pro" panose="020B0504020202020204" pitchFamily="34" charset="0"/>
              </a:rPr>
              <a:t>Depreciation</a:t>
            </a:r>
          </a:p>
        </xdr:txBody>
      </xdr:sp>
      <xdr:sp macro="" textlink="">
        <xdr:nvSpPr>
          <xdr:cNvPr id="48" name="TextBox 47">
            <a:extLst>
              <a:ext uri="{FF2B5EF4-FFF2-40B4-BE49-F238E27FC236}">
                <a16:creationId xmlns:a16="http://schemas.microsoft.com/office/drawing/2014/main" id="{A1430C6E-FA6B-4387-80D7-AD3002366594}"/>
              </a:ext>
            </a:extLst>
          </xdr:cNvPr>
          <xdr:cNvSpPr txBox="1"/>
        </xdr:nvSpPr>
        <xdr:spPr>
          <a:xfrm>
            <a:off x="15379881" y="6660526"/>
            <a:ext cx="980006" cy="215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1">
                <a:solidFill>
                  <a:schemeClr val="bg1"/>
                </a:solidFill>
                <a:latin typeface="Avenir Next LT Pro" panose="020B0504020202020204" pitchFamily="34" charset="0"/>
              </a:rPr>
              <a:t>Supplement</a:t>
            </a:r>
          </a:p>
        </xdr:txBody>
      </xdr:sp>
      <xdr:sp macro="" textlink="">
        <xdr:nvSpPr>
          <xdr:cNvPr id="49" name="TextBox 48">
            <a:extLst>
              <a:ext uri="{FF2B5EF4-FFF2-40B4-BE49-F238E27FC236}">
                <a16:creationId xmlns:a16="http://schemas.microsoft.com/office/drawing/2014/main" id="{910962D0-A61F-4391-A4E3-4BBF3A95A18C}"/>
              </a:ext>
            </a:extLst>
          </xdr:cNvPr>
          <xdr:cNvSpPr txBox="1"/>
        </xdr:nvSpPr>
        <xdr:spPr>
          <a:xfrm>
            <a:off x="10360361" y="7032658"/>
            <a:ext cx="1105393" cy="187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1">
                <a:solidFill>
                  <a:schemeClr val="bg1"/>
                </a:solidFill>
                <a:latin typeface="Avenir Next LT Pro" panose="020B0504020202020204" pitchFamily="34" charset="0"/>
              </a:rPr>
              <a:t>Rolled</a:t>
            </a:r>
            <a:r>
              <a:rPr lang="en-US" sz="800" b="1" baseline="0">
                <a:solidFill>
                  <a:schemeClr val="bg1"/>
                </a:solidFill>
                <a:latin typeface="Avenir Next LT Pro" panose="020B0504020202020204" pitchFamily="34" charset="0"/>
              </a:rPr>
              <a:t> Barley</a:t>
            </a:r>
            <a:endParaRPr lang="en-US" sz="800" b="1">
              <a:solidFill>
                <a:schemeClr val="bg1"/>
              </a:solidFill>
              <a:latin typeface="Avenir Next LT Pro" panose="020B0504020202020204" pitchFamily="34" charset="0"/>
            </a:endParaRPr>
          </a:p>
        </xdr:txBody>
      </xdr:sp>
      <xdr:sp macro="" textlink="">
        <xdr:nvSpPr>
          <xdr:cNvPr id="50" name="TextBox 49">
            <a:extLst>
              <a:ext uri="{FF2B5EF4-FFF2-40B4-BE49-F238E27FC236}">
                <a16:creationId xmlns:a16="http://schemas.microsoft.com/office/drawing/2014/main" id="{0CEB884A-3F53-4750-8078-DD76DA7D4DBB}"/>
              </a:ext>
            </a:extLst>
          </xdr:cNvPr>
          <xdr:cNvSpPr txBox="1"/>
        </xdr:nvSpPr>
        <xdr:spPr>
          <a:xfrm>
            <a:off x="5633077" y="6692156"/>
            <a:ext cx="854077" cy="212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1">
                <a:solidFill>
                  <a:schemeClr val="bg1"/>
                </a:solidFill>
                <a:latin typeface="Avenir Next LT Pro" panose="020B0504020202020204" pitchFamily="34" charset="0"/>
              </a:rPr>
              <a:t>Grass Hay</a:t>
            </a:r>
          </a:p>
        </xdr:txBody>
      </xdr:sp>
      <xdr:sp macro="" textlink="">
        <xdr:nvSpPr>
          <xdr:cNvPr id="51" name="TextBox 50">
            <a:extLst>
              <a:ext uri="{FF2B5EF4-FFF2-40B4-BE49-F238E27FC236}">
                <a16:creationId xmlns:a16="http://schemas.microsoft.com/office/drawing/2014/main" id="{313CB80F-FD17-4DDB-985F-CD82D7B8527D}"/>
              </a:ext>
            </a:extLst>
          </xdr:cNvPr>
          <xdr:cNvSpPr txBox="1"/>
        </xdr:nvSpPr>
        <xdr:spPr>
          <a:xfrm>
            <a:off x="4833590" y="7047865"/>
            <a:ext cx="852565" cy="212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1">
                <a:solidFill>
                  <a:schemeClr val="bg2">
                    <a:lumMod val="10000"/>
                  </a:schemeClr>
                </a:solidFill>
                <a:latin typeface="Avenir Next LT Pro" panose="020B0504020202020204" pitchFamily="34" charset="0"/>
              </a:rPr>
              <a:t>Corn Silage</a:t>
            </a:r>
          </a:p>
        </xdr:txBody>
      </xdr:sp>
      <xdr:sp macro="" textlink="">
        <xdr:nvSpPr>
          <xdr:cNvPr id="52" name="TextBox 51">
            <a:extLst>
              <a:ext uri="{FF2B5EF4-FFF2-40B4-BE49-F238E27FC236}">
                <a16:creationId xmlns:a16="http://schemas.microsoft.com/office/drawing/2014/main" id="{DC839C1D-A4CD-4733-9727-971ABCCD013F}"/>
              </a:ext>
            </a:extLst>
          </xdr:cNvPr>
          <xdr:cNvSpPr txBox="1"/>
        </xdr:nvSpPr>
        <xdr:spPr>
          <a:xfrm>
            <a:off x="14827533" y="1209674"/>
            <a:ext cx="845380" cy="212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1">
                <a:solidFill>
                  <a:schemeClr val="bg1"/>
                </a:solidFill>
                <a:latin typeface="Avenir Next LT Pro" panose="020B0504020202020204" pitchFamily="34" charset="0"/>
              </a:rPr>
              <a:t>Utilities</a:t>
            </a:r>
          </a:p>
        </xdr:txBody>
      </xdr:sp>
    </xdr:grpSp>
    <xdr:clientData/>
  </xdr:twoCellAnchor>
  <xdr:twoCellAnchor>
    <xdr:from>
      <xdr:col>0</xdr:col>
      <xdr:colOff>543275</xdr:colOff>
      <xdr:row>30</xdr:row>
      <xdr:rowOff>49386</xdr:rowOff>
    </xdr:from>
    <xdr:to>
      <xdr:col>4</xdr:col>
      <xdr:colOff>114923</xdr:colOff>
      <xdr:row>32</xdr:row>
      <xdr:rowOff>28219</xdr:rowOff>
    </xdr:to>
    <xdr:sp macro="" textlink="">
      <xdr:nvSpPr>
        <xdr:cNvPr id="34" name="TextBox 33">
          <a:extLst>
            <a:ext uri="{FF2B5EF4-FFF2-40B4-BE49-F238E27FC236}">
              <a16:creationId xmlns:a16="http://schemas.microsoft.com/office/drawing/2014/main" id="{69C1627C-6097-4DE6-85DA-4B0B12E7A152}"/>
            </a:ext>
          </a:extLst>
        </xdr:cNvPr>
        <xdr:cNvSpPr txBox="1"/>
      </xdr:nvSpPr>
      <xdr:spPr>
        <a:xfrm>
          <a:off x="543275" y="6004275"/>
          <a:ext cx="2196315" cy="373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chemeClr val="bg1"/>
              </a:solidFill>
              <a:latin typeface="Avenir Next LT Pro Light" panose="020B0304020202020204" pitchFamily="34" charset="0"/>
            </a:rPr>
            <a:t>Cost Components</a:t>
          </a:r>
        </a:p>
      </xdr:txBody>
    </xdr:sp>
    <xdr:clientData/>
  </xdr:twoCellAnchor>
  <xdr:twoCellAnchor>
    <xdr:from>
      <xdr:col>0</xdr:col>
      <xdr:colOff>544406</xdr:colOff>
      <xdr:row>31</xdr:row>
      <xdr:rowOff>176380</xdr:rowOff>
    </xdr:from>
    <xdr:to>
      <xdr:col>5</xdr:col>
      <xdr:colOff>274730</xdr:colOff>
      <xdr:row>41</xdr:row>
      <xdr:rowOff>89822</xdr:rowOff>
    </xdr:to>
    <xdr:grpSp>
      <xdr:nvGrpSpPr>
        <xdr:cNvPr id="44" name="Group 43">
          <a:extLst>
            <a:ext uri="{FF2B5EF4-FFF2-40B4-BE49-F238E27FC236}">
              <a16:creationId xmlns:a16="http://schemas.microsoft.com/office/drawing/2014/main" id="{BCE1939D-2FB6-4271-9FBF-88B79A4DE95D}"/>
            </a:ext>
          </a:extLst>
        </xdr:cNvPr>
        <xdr:cNvGrpSpPr/>
      </xdr:nvGrpSpPr>
      <xdr:grpSpPr>
        <a:xfrm>
          <a:off x="541231" y="6360883"/>
          <a:ext cx="3149799" cy="1891467"/>
          <a:chOff x="330197" y="5792611"/>
          <a:chExt cx="3335679" cy="2453923"/>
        </a:xfrm>
      </xdr:grpSpPr>
      <xdr:grpSp>
        <xdr:nvGrpSpPr>
          <xdr:cNvPr id="46" name="Group 45">
            <a:extLst>
              <a:ext uri="{FF2B5EF4-FFF2-40B4-BE49-F238E27FC236}">
                <a16:creationId xmlns:a16="http://schemas.microsoft.com/office/drawing/2014/main" id="{2CCDAF52-07CC-0050-1CE9-F8B990186668}"/>
              </a:ext>
            </a:extLst>
          </xdr:cNvPr>
          <xdr:cNvGrpSpPr/>
        </xdr:nvGrpSpPr>
        <xdr:grpSpPr>
          <a:xfrm>
            <a:off x="509411" y="5842000"/>
            <a:ext cx="1444978" cy="2389010"/>
            <a:chOff x="509411" y="5842000"/>
            <a:chExt cx="2034822" cy="2389010"/>
          </a:xfrm>
        </xdr:grpSpPr>
        <xdr:grpSp>
          <xdr:nvGrpSpPr>
            <xdr:cNvPr id="75" name="Group 74">
              <a:extLst>
                <a:ext uri="{FF2B5EF4-FFF2-40B4-BE49-F238E27FC236}">
                  <a16:creationId xmlns:a16="http://schemas.microsoft.com/office/drawing/2014/main" id="{879CBCC7-4F3A-D455-7B98-6F04FDDC3BFA}"/>
                </a:ext>
              </a:extLst>
            </xdr:cNvPr>
            <xdr:cNvGrpSpPr/>
          </xdr:nvGrpSpPr>
          <xdr:grpSpPr>
            <a:xfrm>
              <a:off x="509411" y="5842000"/>
              <a:ext cx="2034822" cy="1948745"/>
              <a:chOff x="255411" y="5898444"/>
              <a:chExt cx="2034822" cy="1948745"/>
            </a:xfrm>
          </xdr:grpSpPr>
          <xdr:sp macro="" textlink="'Pivot Tables'!H4">
            <xdr:nvSpPr>
              <xdr:cNvPr id="77" name="TextBox 76">
                <a:extLst>
                  <a:ext uri="{FF2B5EF4-FFF2-40B4-BE49-F238E27FC236}">
                    <a16:creationId xmlns:a16="http://schemas.microsoft.com/office/drawing/2014/main" id="{B9D38FE4-1177-338A-C507-2861F8F9A270}"/>
                  </a:ext>
                </a:extLst>
              </xdr:cNvPr>
              <xdr:cNvSpPr txBox="1"/>
            </xdr:nvSpPr>
            <xdr:spPr>
              <a:xfrm>
                <a:off x="255411" y="5898444"/>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162D326-84DC-4FB1-9FE6-249485EDAA07}" type="TxLink">
                  <a:rPr lang="en-US" sz="1100" b="0" i="0" u="none" strike="noStrike">
                    <a:solidFill>
                      <a:schemeClr val="bg1"/>
                    </a:solidFill>
                    <a:latin typeface="Avenir Next LT Pro Light" panose="020B0304020202020204" pitchFamily="34" charset="0"/>
                    <a:ea typeface="Calibri"/>
                    <a:cs typeface="Calibri"/>
                  </a:rPr>
                  <a:pPr/>
                  <a:t>Feed</a:t>
                </a:fld>
                <a:endParaRPr lang="en-US" sz="1600">
                  <a:solidFill>
                    <a:schemeClr val="bg1"/>
                  </a:solidFill>
                  <a:latin typeface="Avenir Next LT Pro Light" panose="020B0304020202020204" pitchFamily="34" charset="0"/>
                </a:endParaRPr>
              </a:p>
            </xdr:txBody>
          </xdr:sp>
          <xdr:sp macro="" textlink="'Pivot Tables'!H5">
            <xdr:nvSpPr>
              <xdr:cNvPr id="78" name="TextBox 77">
                <a:extLst>
                  <a:ext uri="{FF2B5EF4-FFF2-40B4-BE49-F238E27FC236}">
                    <a16:creationId xmlns:a16="http://schemas.microsoft.com/office/drawing/2014/main" id="{55C72758-35F3-CE62-F859-C97ECD60A6D2}"/>
                  </a:ext>
                </a:extLst>
              </xdr:cNvPr>
              <xdr:cNvSpPr txBox="1"/>
            </xdr:nvSpPr>
            <xdr:spPr>
              <a:xfrm>
                <a:off x="255411" y="6290380"/>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151B6C5-0570-49AE-86EC-DAE670F8E459}" type="TxLink">
                  <a:rPr lang="en-US" sz="1200" b="0" i="0" u="none" strike="noStrike">
                    <a:solidFill>
                      <a:schemeClr val="bg1"/>
                    </a:solidFill>
                    <a:latin typeface="Calibri"/>
                    <a:ea typeface="Calibri"/>
                    <a:cs typeface="Calibri"/>
                  </a:rPr>
                  <a:pPr/>
                  <a:t>Feeder Cattle</a:t>
                </a:fld>
                <a:endParaRPr lang="en-US" sz="1600">
                  <a:solidFill>
                    <a:schemeClr val="bg1"/>
                  </a:solidFill>
                  <a:latin typeface="Avenir Next LT Pro Light" panose="020B0304020202020204" pitchFamily="34" charset="0"/>
                </a:endParaRPr>
              </a:p>
            </xdr:txBody>
          </xdr:sp>
          <xdr:sp macro="" textlink="'Pivot Tables'!H6">
            <xdr:nvSpPr>
              <xdr:cNvPr id="79" name="TextBox 78">
                <a:extLst>
                  <a:ext uri="{FF2B5EF4-FFF2-40B4-BE49-F238E27FC236}">
                    <a16:creationId xmlns:a16="http://schemas.microsoft.com/office/drawing/2014/main" id="{F32475C5-7F66-2E2D-0455-EE83437A6A2B}"/>
                  </a:ext>
                </a:extLst>
              </xdr:cNvPr>
              <xdr:cNvSpPr txBox="1"/>
            </xdr:nvSpPr>
            <xdr:spPr>
              <a:xfrm>
                <a:off x="255411" y="6682316"/>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45078B7-F1C7-4AFE-B93D-15CFD978C746}" type="TxLink">
                  <a:rPr lang="en-US" sz="1200" b="0" i="0" u="none" strike="noStrike">
                    <a:solidFill>
                      <a:schemeClr val="bg1"/>
                    </a:solidFill>
                    <a:latin typeface="Calibri"/>
                    <a:ea typeface="Calibri"/>
                    <a:cs typeface="Calibri"/>
                  </a:rPr>
                  <a:pPr/>
                  <a:t>Fixed</a:t>
                </a:fld>
                <a:endParaRPr lang="en-US" sz="1600">
                  <a:solidFill>
                    <a:schemeClr val="bg1"/>
                  </a:solidFill>
                  <a:latin typeface="Avenir Next LT Pro Light" panose="020B0304020202020204" pitchFamily="34" charset="0"/>
                </a:endParaRPr>
              </a:p>
            </xdr:txBody>
          </xdr:sp>
          <xdr:sp macro="" textlink="'Pivot Tables'!H7">
            <xdr:nvSpPr>
              <xdr:cNvPr id="80" name="TextBox 79">
                <a:extLst>
                  <a:ext uri="{FF2B5EF4-FFF2-40B4-BE49-F238E27FC236}">
                    <a16:creationId xmlns:a16="http://schemas.microsoft.com/office/drawing/2014/main" id="{18FC9D23-A4DD-A02D-26DE-306BC66EE0C0}"/>
                  </a:ext>
                </a:extLst>
              </xdr:cNvPr>
              <xdr:cNvSpPr txBox="1"/>
            </xdr:nvSpPr>
            <xdr:spPr>
              <a:xfrm>
                <a:off x="255411" y="7074252"/>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5444C92-7E31-43C4-BADA-26F927EC0206}" type="TxLink">
                  <a:rPr lang="en-US" sz="1200" b="0" i="0" u="none" strike="noStrike">
                    <a:solidFill>
                      <a:schemeClr val="bg1"/>
                    </a:solidFill>
                    <a:latin typeface="Calibri"/>
                    <a:ea typeface="Calibri"/>
                    <a:cs typeface="Calibri"/>
                  </a:rPr>
                  <a:pPr/>
                  <a:t>Interest</a:t>
                </a:fld>
                <a:endParaRPr lang="en-US" sz="1600">
                  <a:solidFill>
                    <a:schemeClr val="bg1"/>
                  </a:solidFill>
                  <a:latin typeface="Avenir Next LT Pro Light" panose="020B0304020202020204" pitchFamily="34" charset="0"/>
                </a:endParaRPr>
              </a:p>
            </xdr:txBody>
          </xdr:sp>
          <xdr:sp macro="" textlink="'Pivot Tables'!H8">
            <xdr:nvSpPr>
              <xdr:cNvPr id="81" name="TextBox 80">
                <a:extLst>
                  <a:ext uri="{FF2B5EF4-FFF2-40B4-BE49-F238E27FC236}">
                    <a16:creationId xmlns:a16="http://schemas.microsoft.com/office/drawing/2014/main" id="{C45E0BED-FF91-BD16-4375-2E58355C2C94}"/>
                  </a:ext>
                </a:extLst>
              </xdr:cNvPr>
              <xdr:cNvSpPr txBox="1"/>
            </xdr:nvSpPr>
            <xdr:spPr>
              <a:xfrm>
                <a:off x="255411" y="7466189"/>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268BBC7-2B77-4D8B-A857-7064D3DE4F6E}" type="TxLink">
                  <a:rPr lang="en-US" sz="1200" b="0" i="0" u="none" strike="noStrike">
                    <a:solidFill>
                      <a:schemeClr val="bg1"/>
                    </a:solidFill>
                    <a:latin typeface="Calibri"/>
                    <a:ea typeface="Calibri"/>
                    <a:cs typeface="Calibri"/>
                  </a:rPr>
                  <a:pPr/>
                  <a:t>Labour</a:t>
                </a:fld>
                <a:endParaRPr lang="en-US" sz="1600">
                  <a:solidFill>
                    <a:schemeClr val="bg1"/>
                  </a:solidFill>
                  <a:latin typeface="Avenir Next LT Pro Light" panose="020B0304020202020204" pitchFamily="34" charset="0"/>
                </a:endParaRPr>
              </a:p>
            </xdr:txBody>
          </xdr:sp>
        </xdr:grpSp>
        <xdr:sp macro="" textlink="'Pivot Tables'!H9">
          <xdr:nvSpPr>
            <xdr:cNvPr id="76" name="TextBox 75">
              <a:extLst>
                <a:ext uri="{FF2B5EF4-FFF2-40B4-BE49-F238E27FC236}">
                  <a16:creationId xmlns:a16="http://schemas.microsoft.com/office/drawing/2014/main" id="{99CFB56E-0473-2973-DD6F-B6C320A9B5BE}"/>
                </a:ext>
              </a:extLst>
            </xdr:cNvPr>
            <xdr:cNvSpPr txBox="1"/>
          </xdr:nvSpPr>
          <xdr:spPr>
            <a:xfrm>
              <a:off x="509411" y="7850010"/>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897C9E9-F09F-4AD6-9CBB-3CE1326EAD05}" type="TxLink">
                <a:rPr lang="en-US" sz="1200" b="0" i="0" u="none" strike="noStrike">
                  <a:solidFill>
                    <a:schemeClr val="bg1"/>
                  </a:solidFill>
                  <a:latin typeface="Calibri"/>
                  <a:ea typeface="Calibri"/>
                  <a:cs typeface="Calibri"/>
                </a:rPr>
                <a:pPr/>
                <a:t>Other Operations</a:t>
              </a:fld>
              <a:endParaRPr lang="en-US" sz="1600">
                <a:solidFill>
                  <a:schemeClr val="bg1"/>
                </a:solidFill>
                <a:latin typeface="Avenir Next LT Pro Light" panose="020B0304020202020204" pitchFamily="34" charset="0"/>
              </a:endParaRPr>
            </a:p>
          </xdr:txBody>
        </xdr:sp>
      </xdr:grpSp>
      <xdr:grpSp>
        <xdr:nvGrpSpPr>
          <xdr:cNvPr id="47" name="Group 46">
            <a:extLst>
              <a:ext uri="{FF2B5EF4-FFF2-40B4-BE49-F238E27FC236}">
                <a16:creationId xmlns:a16="http://schemas.microsoft.com/office/drawing/2014/main" id="{36520D70-F9BC-55F8-19B6-D7D1D989636B}"/>
              </a:ext>
            </a:extLst>
          </xdr:cNvPr>
          <xdr:cNvGrpSpPr/>
        </xdr:nvGrpSpPr>
        <xdr:grpSpPr>
          <a:xfrm>
            <a:off x="1684864" y="5846235"/>
            <a:ext cx="558803" cy="2389010"/>
            <a:chOff x="509411" y="5842000"/>
            <a:chExt cx="2034822" cy="2389010"/>
          </a:xfrm>
        </xdr:grpSpPr>
        <xdr:grpSp>
          <xdr:nvGrpSpPr>
            <xdr:cNvPr id="68" name="Group 67">
              <a:extLst>
                <a:ext uri="{FF2B5EF4-FFF2-40B4-BE49-F238E27FC236}">
                  <a16:creationId xmlns:a16="http://schemas.microsoft.com/office/drawing/2014/main" id="{DC6B4C4F-8E61-F439-FC42-8443721DB0B7}"/>
                </a:ext>
              </a:extLst>
            </xdr:cNvPr>
            <xdr:cNvGrpSpPr/>
          </xdr:nvGrpSpPr>
          <xdr:grpSpPr>
            <a:xfrm>
              <a:off x="509411" y="5842000"/>
              <a:ext cx="2034822" cy="1948745"/>
              <a:chOff x="255411" y="5898444"/>
              <a:chExt cx="2034822" cy="1948745"/>
            </a:xfrm>
          </xdr:grpSpPr>
          <xdr:sp macro="" textlink="'Pivot Tables'!O4">
            <xdr:nvSpPr>
              <xdr:cNvPr id="70" name="TextBox 69">
                <a:extLst>
                  <a:ext uri="{FF2B5EF4-FFF2-40B4-BE49-F238E27FC236}">
                    <a16:creationId xmlns:a16="http://schemas.microsoft.com/office/drawing/2014/main" id="{C5C10EBA-7A4F-A069-455C-6A4756FEFA04}"/>
                  </a:ext>
                </a:extLst>
              </xdr:cNvPr>
              <xdr:cNvSpPr txBox="1"/>
            </xdr:nvSpPr>
            <xdr:spPr>
              <a:xfrm>
                <a:off x="255411" y="5898444"/>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616E644-5938-4AD8-AFCB-ED66D8B5A0E2}" type="TxLink">
                  <a:rPr lang="en-US" sz="1200" b="0" i="0" u="none" strike="noStrike">
                    <a:solidFill>
                      <a:schemeClr val="bg1"/>
                    </a:solidFill>
                    <a:latin typeface="Calibri"/>
                    <a:ea typeface="Calibri"/>
                    <a:cs typeface="Calibri"/>
                  </a:rPr>
                  <a:pPr algn="ctr"/>
                  <a:t>2%</a:t>
                </a:fld>
                <a:endParaRPr lang="en-US" sz="1600">
                  <a:solidFill>
                    <a:schemeClr val="bg1"/>
                  </a:solidFill>
                  <a:latin typeface="Avenir Next LT Pro Light" panose="020B0304020202020204" pitchFamily="34" charset="0"/>
                </a:endParaRPr>
              </a:p>
            </xdr:txBody>
          </xdr:sp>
          <xdr:sp macro="" textlink="'Pivot Tables'!O5">
            <xdr:nvSpPr>
              <xdr:cNvPr id="71" name="TextBox 70">
                <a:extLst>
                  <a:ext uri="{FF2B5EF4-FFF2-40B4-BE49-F238E27FC236}">
                    <a16:creationId xmlns:a16="http://schemas.microsoft.com/office/drawing/2014/main" id="{6925DC34-51AD-903F-00CE-58A33134BE18}"/>
                  </a:ext>
                </a:extLst>
              </xdr:cNvPr>
              <xdr:cNvSpPr txBox="1"/>
            </xdr:nvSpPr>
            <xdr:spPr>
              <a:xfrm>
                <a:off x="255411" y="6290380"/>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F807E53-8FDB-4902-8FE8-8D1110DD6647}" type="TxLink">
                  <a:rPr lang="en-US" sz="1200" b="0" i="0" u="none" strike="noStrike">
                    <a:solidFill>
                      <a:schemeClr val="bg1"/>
                    </a:solidFill>
                    <a:latin typeface="Calibri"/>
                    <a:ea typeface="Calibri"/>
                    <a:cs typeface="Calibri"/>
                  </a:rPr>
                  <a:pPr algn="ctr"/>
                  <a:t>86%</a:t>
                </a:fld>
                <a:endParaRPr lang="en-US" sz="1600">
                  <a:solidFill>
                    <a:schemeClr val="bg1"/>
                  </a:solidFill>
                  <a:latin typeface="Avenir Next LT Pro Light" panose="020B0304020202020204" pitchFamily="34" charset="0"/>
                </a:endParaRPr>
              </a:p>
            </xdr:txBody>
          </xdr:sp>
          <xdr:sp macro="" textlink="'Pivot Tables'!O6">
            <xdr:nvSpPr>
              <xdr:cNvPr id="72" name="TextBox 71">
                <a:extLst>
                  <a:ext uri="{FF2B5EF4-FFF2-40B4-BE49-F238E27FC236}">
                    <a16:creationId xmlns:a16="http://schemas.microsoft.com/office/drawing/2014/main" id="{992EC2FD-0FF6-CE0C-7203-BBEF68E7CBBA}"/>
                  </a:ext>
                </a:extLst>
              </xdr:cNvPr>
              <xdr:cNvSpPr txBox="1"/>
            </xdr:nvSpPr>
            <xdr:spPr>
              <a:xfrm>
                <a:off x="255411" y="6682316"/>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D13D558-72A0-40E6-9A12-70DDD4638CDE}" type="TxLink">
                  <a:rPr lang="en-US" sz="1200" b="0" i="0" u="none" strike="noStrike">
                    <a:solidFill>
                      <a:schemeClr val="bg1"/>
                    </a:solidFill>
                    <a:latin typeface="Calibri"/>
                    <a:ea typeface="Calibri"/>
                    <a:cs typeface="Calibri"/>
                  </a:rPr>
                  <a:pPr algn="ctr"/>
                  <a:t>0%</a:t>
                </a:fld>
                <a:endParaRPr lang="en-US" sz="1600">
                  <a:solidFill>
                    <a:schemeClr val="bg1"/>
                  </a:solidFill>
                  <a:latin typeface="Avenir Next LT Pro Light" panose="020B0304020202020204" pitchFamily="34" charset="0"/>
                </a:endParaRPr>
              </a:p>
            </xdr:txBody>
          </xdr:sp>
          <xdr:sp macro="" textlink="'Pivot Tables'!O7">
            <xdr:nvSpPr>
              <xdr:cNvPr id="73" name="TextBox 72">
                <a:extLst>
                  <a:ext uri="{FF2B5EF4-FFF2-40B4-BE49-F238E27FC236}">
                    <a16:creationId xmlns:a16="http://schemas.microsoft.com/office/drawing/2014/main" id="{84A76186-6986-78EB-F447-B01F2099B413}"/>
                  </a:ext>
                </a:extLst>
              </xdr:cNvPr>
              <xdr:cNvSpPr txBox="1"/>
            </xdr:nvSpPr>
            <xdr:spPr>
              <a:xfrm>
                <a:off x="255411" y="7074252"/>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9A6B8C1-35F6-46C5-B87C-A48455F61A23}" type="TxLink">
                  <a:rPr lang="en-US" sz="1200" b="0" i="0" u="none" strike="noStrike">
                    <a:solidFill>
                      <a:schemeClr val="bg1"/>
                    </a:solidFill>
                    <a:latin typeface="Calibri"/>
                    <a:ea typeface="Calibri"/>
                    <a:cs typeface="Calibri"/>
                  </a:rPr>
                  <a:pPr algn="ctr"/>
                  <a:t>4%</a:t>
                </a:fld>
                <a:endParaRPr lang="en-US" sz="1600">
                  <a:solidFill>
                    <a:schemeClr val="bg1"/>
                  </a:solidFill>
                  <a:latin typeface="Avenir Next LT Pro Light" panose="020B0304020202020204" pitchFamily="34" charset="0"/>
                </a:endParaRPr>
              </a:p>
            </xdr:txBody>
          </xdr:sp>
          <xdr:sp macro="" textlink="'Pivot Tables'!O8">
            <xdr:nvSpPr>
              <xdr:cNvPr id="74" name="TextBox 73">
                <a:extLst>
                  <a:ext uri="{FF2B5EF4-FFF2-40B4-BE49-F238E27FC236}">
                    <a16:creationId xmlns:a16="http://schemas.microsoft.com/office/drawing/2014/main" id="{4FFD2DF2-ADF6-88CF-DE0E-BA4ACBDA6359}"/>
                  </a:ext>
                </a:extLst>
              </xdr:cNvPr>
              <xdr:cNvSpPr txBox="1"/>
            </xdr:nvSpPr>
            <xdr:spPr>
              <a:xfrm>
                <a:off x="255411" y="7466189"/>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B039CE6-C030-4231-B92F-6AFEBEE05877}" type="TxLink">
                  <a:rPr lang="en-US" sz="1200" b="0" i="0" u="none" strike="noStrike">
                    <a:solidFill>
                      <a:schemeClr val="bg1"/>
                    </a:solidFill>
                    <a:latin typeface="Calibri"/>
                    <a:ea typeface="Calibri"/>
                    <a:cs typeface="Calibri"/>
                  </a:rPr>
                  <a:pPr algn="ctr"/>
                  <a:t>2%</a:t>
                </a:fld>
                <a:endParaRPr lang="en-US" sz="1600">
                  <a:solidFill>
                    <a:schemeClr val="bg1"/>
                  </a:solidFill>
                  <a:latin typeface="Avenir Next LT Pro Light" panose="020B0304020202020204" pitchFamily="34" charset="0"/>
                </a:endParaRPr>
              </a:p>
            </xdr:txBody>
          </xdr:sp>
        </xdr:grpSp>
        <xdr:sp macro="" textlink="'Pivot Tables'!O9">
          <xdr:nvSpPr>
            <xdr:cNvPr id="69" name="TextBox 68">
              <a:extLst>
                <a:ext uri="{FF2B5EF4-FFF2-40B4-BE49-F238E27FC236}">
                  <a16:creationId xmlns:a16="http://schemas.microsoft.com/office/drawing/2014/main" id="{033FEEC2-7F41-E69A-2CD7-10BCB04CDFE5}"/>
                </a:ext>
              </a:extLst>
            </xdr:cNvPr>
            <xdr:cNvSpPr txBox="1"/>
          </xdr:nvSpPr>
          <xdr:spPr>
            <a:xfrm>
              <a:off x="509411" y="7850010"/>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BB78CCC-889F-44B6-8F20-2DF208FC6CAF}" type="TxLink">
                <a:rPr lang="en-US" sz="1200" b="0" i="0" u="none" strike="noStrike">
                  <a:solidFill>
                    <a:schemeClr val="bg1"/>
                  </a:solidFill>
                  <a:latin typeface="Calibri"/>
                  <a:ea typeface="Calibri"/>
                  <a:cs typeface="Calibri"/>
                </a:rPr>
                <a:pPr algn="ctr"/>
                <a:t>5%</a:t>
              </a:fld>
              <a:endParaRPr lang="en-US" sz="1600">
                <a:solidFill>
                  <a:schemeClr val="bg1"/>
                </a:solidFill>
                <a:latin typeface="Avenir Next LT Pro Light" panose="020B0304020202020204" pitchFamily="34" charset="0"/>
              </a:endParaRPr>
            </a:p>
          </xdr:txBody>
        </xdr:sp>
      </xdr:grpSp>
      <xdr:grpSp>
        <xdr:nvGrpSpPr>
          <xdr:cNvPr id="53" name="Group 52">
            <a:extLst>
              <a:ext uri="{FF2B5EF4-FFF2-40B4-BE49-F238E27FC236}">
                <a16:creationId xmlns:a16="http://schemas.microsoft.com/office/drawing/2014/main" id="{7E06D5E3-1CBC-4D7A-2B3B-DF60CA6A4DCE}"/>
              </a:ext>
            </a:extLst>
          </xdr:cNvPr>
          <xdr:cNvGrpSpPr/>
        </xdr:nvGrpSpPr>
        <xdr:grpSpPr>
          <a:xfrm>
            <a:off x="2149579" y="5857524"/>
            <a:ext cx="1516297" cy="2389010"/>
            <a:chOff x="222097" y="5842000"/>
            <a:chExt cx="3481673" cy="2389010"/>
          </a:xfrm>
        </xdr:grpSpPr>
        <xdr:grpSp>
          <xdr:nvGrpSpPr>
            <xdr:cNvPr id="61" name="Group 60">
              <a:extLst>
                <a:ext uri="{FF2B5EF4-FFF2-40B4-BE49-F238E27FC236}">
                  <a16:creationId xmlns:a16="http://schemas.microsoft.com/office/drawing/2014/main" id="{14F5AF72-D746-4404-C91F-C1BD22CD6374}"/>
                </a:ext>
              </a:extLst>
            </xdr:cNvPr>
            <xdr:cNvGrpSpPr/>
          </xdr:nvGrpSpPr>
          <xdr:grpSpPr>
            <a:xfrm>
              <a:off x="222097" y="5842000"/>
              <a:ext cx="3481673" cy="1948745"/>
              <a:chOff x="-31903" y="5898444"/>
              <a:chExt cx="3481673" cy="1948745"/>
            </a:xfrm>
          </xdr:grpSpPr>
          <xdr:sp macro="" textlink="'Pivot Tables'!N4">
            <xdr:nvSpPr>
              <xdr:cNvPr id="63" name="TextBox 62">
                <a:extLst>
                  <a:ext uri="{FF2B5EF4-FFF2-40B4-BE49-F238E27FC236}">
                    <a16:creationId xmlns:a16="http://schemas.microsoft.com/office/drawing/2014/main" id="{CE53DAEB-1DB9-875A-9C12-78654A6D4E8E}"/>
                  </a:ext>
                </a:extLst>
              </xdr:cNvPr>
              <xdr:cNvSpPr txBox="1"/>
            </xdr:nvSpPr>
            <xdr:spPr>
              <a:xfrm>
                <a:off x="-31903" y="5898444"/>
                <a:ext cx="3481673"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38E5356-6A6C-4F35-9076-226A665F23CB}" type="TxLink">
                  <a:rPr lang="en-US" sz="1200" b="0" i="0" u="none" strike="noStrike">
                    <a:solidFill>
                      <a:schemeClr val="bg1"/>
                    </a:solidFill>
                    <a:latin typeface="Calibri"/>
                    <a:ea typeface="Calibri"/>
                    <a:cs typeface="Calibri"/>
                  </a:rPr>
                  <a:pPr algn="ctr"/>
                  <a:t>$49,605</a:t>
                </a:fld>
                <a:endParaRPr lang="en-US" sz="1600">
                  <a:solidFill>
                    <a:schemeClr val="bg1"/>
                  </a:solidFill>
                  <a:latin typeface="Avenir Next LT Pro Light" panose="020B0304020202020204" pitchFamily="34" charset="0"/>
                </a:endParaRPr>
              </a:p>
            </xdr:txBody>
          </xdr:sp>
          <xdr:sp macro="" textlink="'Pivot Tables'!N5">
            <xdr:nvSpPr>
              <xdr:cNvPr id="64" name="TextBox 63">
                <a:extLst>
                  <a:ext uri="{FF2B5EF4-FFF2-40B4-BE49-F238E27FC236}">
                    <a16:creationId xmlns:a16="http://schemas.microsoft.com/office/drawing/2014/main" id="{3B12A9CF-5F9D-5436-37A4-7ACAA2F7E7F2}"/>
                  </a:ext>
                </a:extLst>
              </xdr:cNvPr>
              <xdr:cNvSpPr txBox="1"/>
            </xdr:nvSpPr>
            <xdr:spPr>
              <a:xfrm>
                <a:off x="255409" y="6290380"/>
                <a:ext cx="3176944"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8059036-279B-4E15-AB4D-A6D05B573C1C}" type="TxLink">
                  <a:rPr lang="en-US" sz="1200" b="0" i="0" u="none" strike="noStrike">
                    <a:solidFill>
                      <a:schemeClr val="bg1"/>
                    </a:solidFill>
                    <a:latin typeface="Calibri"/>
                    <a:ea typeface="Calibri"/>
                    <a:cs typeface="Calibri"/>
                  </a:rPr>
                  <a:pPr algn="ctr"/>
                  <a:t>$1,835,200</a:t>
                </a:fld>
                <a:endParaRPr lang="en-US" sz="1600">
                  <a:solidFill>
                    <a:schemeClr val="bg1"/>
                  </a:solidFill>
                  <a:latin typeface="Avenir Next LT Pro Light" panose="020B0304020202020204" pitchFamily="34" charset="0"/>
                </a:endParaRPr>
              </a:p>
            </xdr:txBody>
          </xdr:sp>
          <xdr:sp macro="" textlink="'Pivot Tables'!N6">
            <xdr:nvSpPr>
              <xdr:cNvPr id="65" name="TextBox 64">
                <a:extLst>
                  <a:ext uri="{FF2B5EF4-FFF2-40B4-BE49-F238E27FC236}">
                    <a16:creationId xmlns:a16="http://schemas.microsoft.com/office/drawing/2014/main" id="{88C89841-E565-514D-4D6D-DEAF0778146D}"/>
                  </a:ext>
                </a:extLst>
              </xdr:cNvPr>
              <xdr:cNvSpPr txBox="1"/>
            </xdr:nvSpPr>
            <xdr:spPr>
              <a:xfrm>
                <a:off x="255409" y="6682316"/>
                <a:ext cx="27241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7D76559-FB33-4A75-9B25-6EF6570B204C}" type="TxLink">
                  <a:rPr lang="en-US" sz="1200" b="0" i="0" u="none" strike="noStrike">
                    <a:solidFill>
                      <a:schemeClr val="bg1"/>
                    </a:solidFill>
                    <a:latin typeface="Calibri"/>
                    <a:ea typeface="Calibri"/>
                    <a:cs typeface="Calibri"/>
                  </a:rPr>
                  <a:pPr algn="ctr"/>
                  <a:t>$10,034</a:t>
                </a:fld>
                <a:endParaRPr lang="en-US" sz="1600">
                  <a:solidFill>
                    <a:schemeClr val="bg1"/>
                  </a:solidFill>
                  <a:latin typeface="Avenir Next LT Pro Light" panose="020B0304020202020204" pitchFamily="34" charset="0"/>
                </a:endParaRPr>
              </a:p>
            </xdr:txBody>
          </xdr:sp>
          <xdr:sp macro="" textlink="'Pivot Tables'!N7">
            <xdr:nvSpPr>
              <xdr:cNvPr id="66" name="TextBox 65">
                <a:extLst>
                  <a:ext uri="{FF2B5EF4-FFF2-40B4-BE49-F238E27FC236}">
                    <a16:creationId xmlns:a16="http://schemas.microsoft.com/office/drawing/2014/main" id="{10342E3B-1553-BD80-B391-DD69A3CBC0A6}"/>
                  </a:ext>
                </a:extLst>
              </xdr:cNvPr>
              <xdr:cNvSpPr txBox="1"/>
            </xdr:nvSpPr>
            <xdr:spPr>
              <a:xfrm>
                <a:off x="105853" y="7074252"/>
                <a:ext cx="311750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52303D0-735B-4FCE-B49A-CAD45F49C585}" type="TxLink">
                  <a:rPr lang="en-US" sz="1200" b="0" i="0" u="none" strike="noStrike">
                    <a:solidFill>
                      <a:schemeClr val="bg1"/>
                    </a:solidFill>
                    <a:latin typeface="Calibri"/>
                    <a:ea typeface="Calibri"/>
                    <a:cs typeface="Calibri"/>
                  </a:rPr>
                  <a:pPr algn="ctr"/>
                  <a:t>$78,348</a:t>
                </a:fld>
                <a:endParaRPr lang="en-US" sz="1600">
                  <a:solidFill>
                    <a:schemeClr val="bg1"/>
                  </a:solidFill>
                  <a:latin typeface="Avenir Next LT Pro Light" panose="020B0304020202020204" pitchFamily="34" charset="0"/>
                </a:endParaRPr>
              </a:p>
            </xdr:txBody>
          </xdr:sp>
          <xdr:sp macro="" textlink="'Pivot Tables'!N8">
            <xdr:nvSpPr>
              <xdr:cNvPr id="67" name="TextBox 66">
                <a:extLst>
                  <a:ext uri="{FF2B5EF4-FFF2-40B4-BE49-F238E27FC236}">
                    <a16:creationId xmlns:a16="http://schemas.microsoft.com/office/drawing/2014/main" id="{C4EEF210-9A4A-253C-F7BB-73BE9BEC3738}"/>
                  </a:ext>
                </a:extLst>
              </xdr:cNvPr>
              <xdr:cNvSpPr txBox="1"/>
            </xdr:nvSpPr>
            <xdr:spPr>
              <a:xfrm>
                <a:off x="255411" y="7466189"/>
                <a:ext cx="2741538"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F9B03C8-D358-4CF0-BBD3-1764310A6406}" type="TxLink">
                  <a:rPr lang="en-US" sz="1200" b="0" i="0" u="none" strike="noStrike">
                    <a:solidFill>
                      <a:schemeClr val="bg1"/>
                    </a:solidFill>
                    <a:latin typeface="Calibri"/>
                    <a:ea typeface="Calibri"/>
                    <a:cs typeface="Calibri"/>
                  </a:rPr>
                  <a:pPr algn="ctr"/>
                  <a:t>$40,000</a:t>
                </a:fld>
                <a:endParaRPr lang="en-US" sz="1600">
                  <a:solidFill>
                    <a:schemeClr val="bg1"/>
                  </a:solidFill>
                  <a:latin typeface="Avenir Next LT Pro Light" panose="020B0304020202020204" pitchFamily="34" charset="0"/>
                </a:endParaRPr>
              </a:p>
            </xdr:txBody>
          </xdr:sp>
        </xdr:grpSp>
        <xdr:sp macro="" textlink="'Pivot Tables'!N9">
          <xdr:nvSpPr>
            <xdr:cNvPr id="62" name="TextBox 61">
              <a:extLst>
                <a:ext uri="{FF2B5EF4-FFF2-40B4-BE49-F238E27FC236}">
                  <a16:creationId xmlns:a16="http://schemas.microsoft.com/office/drawing/2014/main" id="{BF530B51-93B4-ECB8-4C4B-994FE5AB87F3}"/>
                </a:ext>
              </a:extLst>
            </xdr:cNvPr>
            <xdr:cNvSpPr txBox="1"/>
          </xdr:nvSpPr>
          <xdr:spPr>
            <a:xfrm>
              <a:off x="419511" y="7850010"/>
              <a:ext cx="308684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A97110B-5372-428F-ADF0-8AED706DD69F}" type="TxLink">
                <a:rPr lang="en-US" sz="1200" b="0" i="0" u="none" strike="noStrike">
                  <a:solidFill>
                    <a:schemeClr val="bg1"/>
                  </a:solidFill>
                  <a:latin typeface="Calibri"/>
                  <a:ea typeface="Calibri"/>
                  <a:cs typeface="Calibri"/>
                </a:rPr>
                <a:pPr algn="ctr"/>
                <a:t>$111,769</a:t>
              </a:fld>
              <a:endParaRPr lang="en-US" sz="1600">
                <a:solidFill>
                  <a:schemeClr val="bg1"/>
                </a:solidFill>
                <a:latin typeface="Avenir Next LT Pro Light" panose="020B0304020202020204" pitchFamily="34" charset="0"/>
              </a:endParaRPr>
            </a:p>
          </xdr:txBody>
        </xdr:sp>
      </xdr:grpSp>
      <xdr:grpSp>
        <xdr:nvGrpSpPr>
          <xdr:cNvPr id="54" name="Group 53">
            <a:extLst>
              <a:ext uri="{FF2B5EF4-FFF2-40B4-BE49-F238E27FC236}">
                <a16:creationId xmlns:a16="http://schemas.microsoft.com/office/drawing/2014/main" id="{BDD9E4FB-3C25-3C2F-CD0E-E08F2A6B04E8}"/>
              </a:ext>
            </a:extLst>
          </xdr:cNvPr>
          <xdr:cNvGrpSpPr/>
        </xdr:nvGrpSpPr>
        <xdr:grpSpPr>
          <a:xfrm>
            <a:off x="330197" y="5792611"/>
            <a:ext cx="239893" cy="2333980"/>
            <a:chOff x="330197" y="5792611"/>
            <a:chExt cx="239893" cy="2333980"/>
          </a:xfrm>
        </xdr:grpSpPr>
        <xdr:sp macro="" textlink="'Pivot Tables'!N4">
          <xdr:nvSpPr>
            <xdr:cNvPr id="55" name="TextBox 54">
              <a:extLst>
                <a:ext uri="{FF2B5EF4-FFF2-40B4-BE49-F238E27FC236}">
                  <a16:creationId xmlns:a16="http://schemas.microsoft.com/office/drawing/2014/main" id="{20A1B426-BB07-C8FA-9E32-BBE9C4486BFE}"/>
                </a:ext>
              </a:extLst>
            </xdr:cNvPr>
            <xdr:cNvSpPr txBox="1"/>
          </xdr:nvSpPr>
          <xdr:spPr>
            <a:xfrm>
              <a:off x="330197" y="5792611"/>
              <a:ext cx="239893" cy="3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solidFill>
                    <a:srgbClr val="FF0000"/>
                  </a:solidFill>
                  <a:latin typeface="Avenir Next LT Pro Light" panose="020B0304020202020204" pitchFamily="34" charset="0"/>
                </a:rPr>
                <a:t>•</a:t>
              </a:r>
            </a:p>
          </xdr:txBody>
        </xdr:sp>
        <xdr:sp macro="" textlink="'Pivot Tables'!N4">
          <xdr:nvSpPr>
            <xdr:cNvPr id="56" name="TextBox 55">
              <a:extLst>
                <a:ext uri="{FF2B5EF4-FFF2-40B4-BE49-F238E27FC236}">
                  <a16:creationId xmlns:a16="http://schemas.microsoft.com/office/drawing/2014/main" id="{C10FC11D-D4B4-9CF5-661F-1327AA9C369E}"/>
                </a:ext>
              </a:extLst>
            </xdr:cNvPr>
            <xdr:cNvSpPr txBox="1"/>
          </xdr:nvSpPr>
          <xdr:spPr>
            <a:xfrm>
              <a:off x="330197" y="6199011"/>
              <a:ext cx="239893" cy="3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solidFill>
                    <a:srgbClr val="FF0000"/>
                  </a:solidFill>
                  <a:latin typeface="Avenir Next LT Pro Light" panose="020B0304020202020204" pitchFamily="34" charset="0"/>
                </a:rPr>
                <a:t>•</a:t>
              </a:r>
            </a:p>
          </xdr:txBody>
        </xdr:sp>
        <xdr:sp macro="" textlink="'Pivot Tables'!N4">
          <xdr:nvSpPr>
            <xdr:cNvPr id="57" name="TextBox 56">
              <a:extLst>
                <a:ext uri="{FF2B5EF4-FFF2-40B4-BE49-F238E27FC236}">
                  <a16:creationId xmlns:a16="http://schemas.microsoft.com/office/drawing/2014/main" id="{33319A98-D348-C487-E328-699005ED1104}"/>
                </a:ext>
              </a:extLst>
            </xdr:cNvPr>
            <xdr:cNvSpPr txBox="1"/>
          </xdr:nvSpPr>
          <xdr:spPr>
            <a:xfrm>
              <a:off x="330197" y="6605411"/>
              <a:ext cx="239893" cy="3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solidFill>
                    <a:srgbClr val="FF0000"/>
                  </a:solidFill>
                  <a:latin typeface="Avenir Next LT Pro Light" panose="020B0304020202020204" pitchFamily="34" charset="0"/>
                </a:rPr>
                <a:t>•</a:t>
              </a:r>
            </a:p>
          </xdr:txBody>
        </xdr:sp>
        <xdr:sp macro="" textlink="'Pivot Tables'!N4">
          <xdr:nvSpPr>
            <xdr:cNvPr id="58" name="TextBox 57">
              <a:extLst>
                <a:ext uri="{FF2B5EF4-FFF2-40B4-BE49-F238E27FC236}">
                  <a16:creationId xmlns:a16="http://schemas.microsoft.com/office/drawing/2014/main" id="{BD23A8C7-C04F-700B-AE3F-FC6FD89EAD11}"/>
                </a:ext>
              </a:extLst>
            </xdr:cNvPr>
            <xdr:cNvSpPr txBox="1"/>
          </xdr:nvSpPr>
          <xdr:spPr>
            <a:xfrm>
              <a:off x="330197" y="7011811"/>
              <a:ext cx="239893" cy="3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solidFill>
                    <a:srgbClr val="FF0000"/>
                  </a:solidFill>
                  <a:latin typeface="Avenir Next LT Pro Light" panose="020B0304020202020204" pitchFamily="34" charset="0"/>
                </a:rPr>
                <a:t>•</a:t>
              </a:r>
            </a:p>
          </xdr:txBody>
        </xdr:sp>
        <xdr:sp macro="" textlink="'Pivot Tables'!N4">
          <xdr:nvSpPr>
            <xdr:cNvPr id="59" name="TextBox 58">
              <a:extLst>
                <a:ext uri="{FF2B5EF4-FFF2-40B4-BE49-F238E27FC236}">
                  <a16:creationId xmlns:a16="http://schemas.microsoft.com/office/drawing/2014/main" id="{19B4E8A2-5C34-A0C7-87C5-BF9D3A171E18}"/>
                </a:ext>
              </a:extLst>
            </xdr:cNvPr>
            <xdr:cNvSpPr txBox="1"/>
          </xdr:nvSpPr>
          <xdr:spPr>
            <a:xfrm>
              <a:off x="330197" y="7418211"/>
              <a:ext cx="239893" cy="3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solidFill>
                    <a:srgbClr val="FF0000"/>
                  </a:solidFill>
                  <a:latin typeface="Avenir Next LT Pro Light" panose="020B0304020202020204" pitchFamily="34" charset="0"/>
                </a:rPr>
                <a:t>•</a:t>
              </a:r>
            </a:p>
          </xdr:txBody>
        </xdr:sp>
        <xdr:sp macro="" textlink="'Pivot Tables'!N4">
          <xdr:nvSpPr>
            <xdr:cNvPr id="60" name="TextBox 59">
              <a:extLst>
                <a:ext uri="{FF2B5EF4-FFF2-40B4-BE49-F238E27FC236}">
                  <a16:creationId xmlns:a16="http://schemas.microsoft.com/office/drawing/2014/main" id="{96FF0F76-8793-2807-5078-04BA014EA95B}"/>
                </a:ext>
              </a:extLst>
            </xdr:cNvPr>
            <xdr:cNvSpPr txBox="1"/>
          </xdr:nvSpPr>
          <xdr:spPr>
            <a:xfrm>
              <a:off x="330197" y="7824611"/>
              <a:ext cx="239893" cy="3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solidFill>
                    <a:srgbClr val="FF0000"/>
                  </a:solidFill>
                  <a:latin typeface="Avenir Next LT Pro Light" panose="020B0304020202020204" pitchFamily="34" charset="0"/>
                </a:rPr>
                <a:t>•</a:t>
              </a:r>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26</xdr:col>
      <xdr:colOff>99821</xdr:colOff>
      <xdr:row>2</xdr:row>
      <xdr:rowOff>93392</xdr:rowOff>
    </xdr:to>
    <xdr:grpSp>
      <xdr:nvGrpSpPr>
        <xdr:cNvPr id="2" name="Group 1">
          <a:extLst>
            <a:ext uri="{FF2B5EF4-FFF2-40B4-BE49-F238E27FC236}">
              <a16:creationId xmlns:a16="http://schemas.microsoft.com/office/drawing/2014/main" id="{AA328463-2CD8-4051-A32B-E25702DFBF63}"/>
            </a:ext>
          </a:extLst>
        </xdr:cNvPr>
        <xdr:cNvGrpSpPr/>
      </xdr:nvGrpSpPr>
      <xdr:grpSpPr>
        <a:xfrm>
          <a:off x="0" y="0"/>
          <a:ext cx="17190846" cy="493442"/>
          <a:chOff x="1" y="1"/>
          <a:chExt cx="17270221" cy="487092"/>
        </a:xfrm>
      </xdr:grpSpPr>
      <xdr:sp macro="" textlink="">
        <xdr:nvSpPr>
          <xdr:cNvPr id="3" name="Rectangle 2">
            <a:extLst>
              <a:ext uri="{FF2B5EF4-FFF2-40B4-BE49-F238E27FC236}">
                <a16:creationId xmlns:a16="http://schemas.microsoft.com/office/drawing/2014/main" id="{1C619A35-EE32-41DF-C81E-1B495CD9C7A9}"/>
              </a:ext>
            </a:extLst>
          </xdr:cNvPr>
          <xdr:cNvSpPr/>
        </xdr:nvSpPr>
        <xdr:spPr>
          <a:xfrm>
            <a:off x="6350" y="50799"/>
            <a:ext cx="17263872" cy="393192"/>
          </a:xfrm>
          <a:prstGeom prst="rect">
            <a:avLst/>
          </a:prstGeom>
          <a:solidFill>
            <a:srgbClr val="10103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3">
            <a:extLst>
              <a:ext uri="{FF2B5EF4-FFF2-40B4-BE49-F238E27FC236}">
                <a16:creationId xmlns:a16="http://schemas.microsoft.com/office/drawing/2014/main" id="{35004A81-27C4-8556-CFF1-AD0F38A9227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
            <a:ext cx="1051278" cy="487092"/>
          </a:xfrm>
          <a:prstGeom prst="rect">
            <a:avLst/>
          </a:prstGeom>
        </xdr:spPr>
      </xdr:pic>
      <xdr:sp macro="" textlink="">
        <xdr:nvSpPr>
          <xdr:cNvPr id="6" name="TextBox 5">
            <a:hlinkClick xmlns:r="http://schemas.openxmlformats.org/officeDocument/2006/relationships" r:id="rId2" tooltip="http://agrilife.tamu.edu"/>
            <a:extLst>
              <a:ext uri="{FF2B5EF4-FFF2-40B4-BE49-F238E27FC236}">
                <a16:creationId xmlns:a16="http://schemas.microsoft.com/office/drawing/2014/main" id="{62B3BF53-38D4-1133-DDC1-920145A32413}"/>
              </a:ext>
            </a:extLst>
          </xdr:cNvPr>
          <xdr:cNvSpPr txBox="1"/>
        </xdr:nvSpPr>
        <xdr:spPr>
          <a:xfrm>
            <a:off x="5771444" y="70556"/>
            <a:ext cx="1354666" cy="303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chemeClr val="bg1"/>
                </a:solidFill>
                <a:latin typeface="Avenir"/>
              </a:rPr>
              <a:t>Connect</a:t>
            </a:r>
          </a:p>
        </xdr:txBody>
      </xdr:sp>
      <xdr:sp macro="" textlink="">
        <xdr:nvSpPr>
          <xdr:cNvPr id="7" name="TextBox 6">
            <a:hlinkClick xmlns:r="http://schemas.openxmlformats.org/officeDocument/2006/relationships" r:id="rId3" tooltip="Production"/>
            <a:extLst>
              <a:ext uri="{FF2B5EF4-FFF2-40B4-BE49-F238E27FC236}">
                <a16:creationId xmlns:a16="http://schemas.microsoft.com/office/drawing/2014/main" id="{472A3569-2FA5-BAB5-A956-573DED1A38AA}"/>
              </a:ext>
            </a:extLst>
          </xdr:cNvPr>
          <xdr:cNvSpPr txBox="1"/>
        </xdr:nvSpPr>
        <xdr:spPr>
          <a:xfrm>
            <a:off x="10301111" y="98072"/>
            <a:ext cx="1354666" cy="303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chemeClr val="bg1"/>
                </a:solidFill>
                <a:latin typeface="Avenir"/>
              </a:rPr>
              <a:t>Production</a:t>
            </a:r>
          </a:p>
        </xdr:txBody>
      </xdr:sp>
      <xdr:sp macro="" textlink="">
        <xdr:nvSpPr>
          <xdr:cNvPr id="8" name="TextBox 7">
            <a:hlinkClick xmlns:r="http://schemas.openxmlformats.org/officeDocument/2006/relationships" r:id="rId4" tooltip="Income"/>
            <a:extLst>
              <a:ext uri="{FF2B5EF4-FFF2-40B4-BE49-F238E27FC236}">
                <a16:creationId xmlns:a16="http://schemas.microsoft.com/office/drawing/2014/main" id="{6DA749C9-F7AE-AA48-51C2-98E845073EEC}"/>
              </a:ext>
            </a:extLst>
          </xdr:cNvPr>
          <xdr:cNvSpPr txBox="1"/>
        </xdr:nvSpPr>
        <xdr:spPr>
          <a:xfrm>
            <a:off x="11610622" y="98072"/>
            <a:ext cx="1354666" cy="303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chemeClr val="bg1"/>
                </a:solidFill>
                <a:latin typeface="Avenir"/>
              </a:rPr>
              <a:t>Income</a:t>
            </a:r>
          </a:p>
        </xdr:txBody>
      </xdr:sp>
      <xdr:sp macro="" textlink="">
        <xdr:nvSpPr>
          <xdr:cNvPr id="9" name="TextBox 8">
            <a:hlinkClick xmlns:r="http://schemas.openxmlformats.org/officeDocument/2006/relationships" r:id="rId5" tooltip="Operations"/>
            <a:extLst>
              <a:ext uri="{FF2B5EF4-FFF2-40B4-BE49-F238E27FC236}">
                <a16:creationId xmlns:a16="http://schemas.microsoft.com/office/drawing/2014/main" id="{68CB0684-D974-3C2D-9243-AE8B94738618}"/>
              </a:ext>
            </a:extLst>
          </xdr:cNvPr>
          <xdr:cNvSpPr txBox="1"/>
        </xdr:nvSpPr>
        <xdr:spPr>
          <a:xfrm>
            <a:off x="12920133" y="98072"/>
            <a:ext cx="1354666" cy="303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chemeClr val="bg1"/>
                </a:solidFill>
                <a:latin typeface="Avenir"/>
              </a:rPr>
              <a:t>Operations</a:t>
            </a:r>
          </a:p>
        </xdr:txBody>
      </xdr:sp>
      <xdr:sp macro="" textlink="">
        <xdr:nvSpPr>
          <xdr:cNvPr id="10" name="TextBox 9">
            <a:hlinkClick xmlns:r="http://schemas.openxmlformats.org/officeDocument/2006/relationships" r:id="rId6" tooltip="Investment"/>
            <a:extLst>
              <a:ext uri="{FF2B5EF4-FFF2-40B4-BE49-F238E27FC236}">
                <a16:creationId xmlns:a16="http://schemas.microsoft.com/office/drawing/2014/main" id="{E5FD1BE5-48E3-7F6D-FFCB-7E00188778E5}"/>
              </a:ext>
            </a:extLst>
          </xdr:cNvPr>
          <xdr:cNvSpPr txBox="1"/>
        </xdr:nvSpPr>
        <xdr:spPr>
          <a:xfrm>
            <a:off x="14229644" y="98072"/>
            <a:ext cx="1354666" cy="303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chemeClr val="bg1"/>
                </a:solidFill>
                <a:latin typeface="Avenir"/>
              </a:rPr>
              <a:t>Investment</a:t>
            </a:r>
          </a:p>
        </xdr:txBody>
      </xdr:sp>
      <xdr:grpSp>
        <xdr:nvGrpSpPr>
          <xdr:cNvPr id="11" name="Graphic 11" descr="Compass outline">
            <a:extLst>
              <a:ext uri="{FF2B5EF4-FFF2-40B4-BE49-F238E27FC236}">
                <a16:creationId xmlns:a16="http://schemas.microsoft.com/office/drawing/2014/main" id="{DEF5C9C7-D862-C582-8CD3-EC7395D77D7C}"/>
              </a:ext>
            </a:extLst>
          </xdr:cNvPr>
          <xdr:cNvGrpSpPr/>
        </xdr:nvGrpSpPr>
        <xdr:grpSpPr>
          <a:xfrm>
            <a:off x="5874456" y="77611"/>
            <a:ext cx="270933" cy="261056"/>
            <a:chOff x="5458178" y="1140178"/>
            <a:chExt cx="609600" cy="609600"/>
          </a:xfrm>
          <a:solidFill>
            <a:srgbClr val="000000"/>
          </a:solidFill>
        </xdr:grpSpPr>
        <xdr:sp macro="" textlink="">
          <xdr:nvSpPr>
            <xdr:cNvPr id="12" name="Freeform: Shape 11">
              <a:extLst>
                <a:ext uri="{FF2B5EF4-FFF2-40B4-BE49-F238E27FC236}">
                  <a16:creationId xmlns:a16="http://schemas.microsoft.com/office/drawing/2014/main" id="{B0357103-B536-A58F-1C6E-A2C8739DE18C}"/>
                </a:ext>
              </a:extLst>
            </xdr:cNvPr>
            <xdr:cNvSpPr/>
          </xdr:nvSpPr>
          <xdr:spPr>
            <a:xfrm>
              <a:off x="5458178" y="1140178"/>
              <a:ext cx="609600" cy="609600"/>
            </a:xfrm>
            <a:custGeom>
              <a:avLst/>
              <a:gdLst>
                <a:gd name="connsiteX0" fmla="*/ 304800 w 609600"/>
                <a:gd name="connsiteY0" fmla="*/ 19050 h 609600"/>
                <a:gd name="connsiteX1" fmla="*/ 590550 w 609600"/>
                <a:gd name="connsiteY1" fmla="*/ 304800 h 609600"/>
                <a:gd name="connsiteX2" fmla="*/ 304800 w 609600"/>
                <a:gd name="connsiteY2" fmla="*/ 590550 h 609600"/>
                <a:gd name="connsiteX3" fmla="*/ 19050 w 609600"/>
                <a:gd name="connsiteY3" fmla="*/ 304800 h 609600"/>
                <a:gd name="connsiteX4" fmla="*/ 304800 w 609600"/>
                <a:gd name="connsiteY4" fmla="*/ 19050 h 609600"/>
                <a:gd name="connsiteX5" fmla="*/ 304800 w 609600"/>
                <a:gd name="connsiteY5" fmla="*/ 0 h 609600"/>
                <a:gd name="connsiteX6" fmla="*/ 0 w 609600"/>
                <a:gd name="connsiteY6" fmla="*/ 304800 h 609600"/>
                <a:gd name="connsiteX7" fmla="*/ 304800 w 609600"/>
                <a:gd name="connsiteY7" fmla="*/ 609600 h 609600"/>
                <a:gd name="connsiteX8" fmla="*/ 609600 w 609600"/>
                <a:gd name="connsiteY8" fmla="*/ 304800 h 609600"/>
                <a:gd name="connsiteX9" fmla="*/ 304800 w 609600"/>
                <a:gd name="connsiteY9" fmla="*/ 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609600" h="609600">
                  <a:moveTo>
                    <a:pt x="304800" y="19050"/>
                  </a:moveTo>
                  <a:cubicBezTo>
                    <a:pt x="462615" y="19050"/>
                    <a:pt x="590550" y="146985"/>
                    <a:pt x="590550" y="304800"/>
                  </a:cubicBezTo>
                  <a:cubicBezTo>
                    <a:pt x="590550" y="462615"/>
                    <a:pt x="462615" y="590550"/>
                    <a:pt x="304800" y="590550"/>
                  </a:cubicBezTo>
                  <a:cubicBezTo>
                    <a:pt x="146985" y="590550"/>
                    <a:pt x="19050" y="462615"/>
                    <a:pt x="19050" y="304800"/>
                  </a:cubicBezTo>
                  <a:cubicBezTo>
                    <a:pt x="19228" y="147058"/>
                    <a:pt x="147058" y="19228"/>
                    <a:pt x="304800" y="19050"/>
                  </a:cubicBezTo>
                  <a:moveTo>
                    <a:pt x="304800" y="0"/>
                  </a:moveTo>
                  <a:cubicBezTo>
                    <a:pt x="136464" y="0"/>
                    <a:pt x="0" y="136464"/>
                    <a:pt x="0" y="304800"/>
                  </a:cubicBezTo>
                  <a:cubicBezTo>
                    <a:pt x="0" y="473136"/>
                    <a:pt x="136464" y="609600"/>
                    <a:pt x="304800" y="609600"/>
                  </a:cubicBezTo>
                  <a:cubicBezTo>
                    <a:pt x="473136" y="609600"/>
                    <a:pt x="609600" y="473136"/>
                    <a:pt x="609600" y="304800"/>
                  </a:cubicBezTo>
                  <a:cubicBezTo>
                    <a:pt x="609411" y="136542"/>
                    <a:pt x="473058" y="189"/>
                    <a:pt x="304800" y="0"/>
                  </a:cubicBezTo>
                  <a:close/>
                </a:path>
              </a:pathLst>
            </a:custGeom>
            <a:solidFill>
              <a:srgbClr val="000000"/>
            </a:solidFill>
            <a:ln w="9525" cap="flat">
              <a:solidFill>
                <a:schemeClr val="bg1"/>
              </a:solidFill>
              <a:prstDash val="solid"/>
              <a:miter/>
            </a:ln>
          </xdr:spPr>
          <xdr:txBody>
            <a:bodyPr rtlCol="0" anchor="ctr"/>
            <a:lstStyle/>
            <a:p>
              <a:endParaRPr lang="en-US"/>
            </a:p>
          </xdr:txBody>
        </xdr:sp>
        <xdr:sp macro="" textlink="">
          <xdr:nvSpPr>
            <xdr:cNvPr id="13" name="Freeform: Shape 12">
              <a:extLst>
                <a:ext uri="{FF2B5EF4-FFF2-40B4-BE49-F238E27FC236}">
                  <a16:creationId xmlns:a16="http://schemas.microsoft.com/office/drawing/2014/main" id="{F8250AEF-5348-FD65-7A22-DD5B23A6E7A8}"/>
                </a:ext>
              </a:extLst>
            </xdr:cNvPr>
            <xdr:cNvSpPr/>
          </xdr:nvSpPr>
          <xdr:spPr>
            <a:xfrm>
              <a:off x="5614388" y="1298292"/>
              <a:ext cx="295275" cy="295275"/>
            </a:xfrm>
            <a:custGeom>
              <a:avLst/>
              <a:gdLst>
                <a:gd name="connsiteX0" fmla="*/ 194939 w 295275"/>
                <a:gd name="connsiteY0" fmla="*/ 194948 h 295275"/>
                <a:gd name="connsiteX1" fmla="*/ 35023 w 295275"/>
                <a:gd name="connsiteY1" fmla="*/ 260366 h 295275"/>
                <a:gd name="connsiteX2" fmla="*/ 100336 w 295275"/>
                <a:gd name="connsiteY2" fmla="*/ 102175 h 295275"/>
                <a:gd name="connsiteX3" fmla="*/ 260252 w 295275"/>
                <a:gd name="connsiteY3" fmla="*/ 35290 h 295275"/>
                <a:gd name="connsiteX4" fmla="*/ 85725 w 295275"/>
                <a:gd name="connsiteY4" fmla="*/ 87630 h 295275"/>
                <a:gd name="connsiteX5" fmla="*/ 0 w 295275"/>
                <a:gd name="connsiteY5" fmla="*/ 295275 h 295275"/>
                <a:gd name="connsiteX6" fmla="*/ 209550 w 295275"/>
                <a:gd name="connsiteY6" fmla="*/ 209550 h 295275"/>
                <a:gd name="connsiteX7" fmla="*/ 295275 w 295275"/>
                <a:gd name="connsiteY7" fmla="*/ 0 h 2952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5275" h="295275">
                  <a:moveTo>
                    <a:pt x="194939" y="194948"/>
                  </a:moveTo>
                  <a:lnTo>
                    <a:pt x="35023" y="260366"/>
                  </a:lnTo>
                  <a:lnTo>
                    <a:pt x="100336" y="102175"/>
                  </a:lnTo>
                  <a:lnTo>
                    <a:pt x="260252" y="35290"/>
                  </a:lnTo>
                  <a:close/>
                  <a:moveTo>
                    <a:pt x="85725" y="87630"/>
                  </a:moveTo>
                  <a:lnTo>
                    <a:pt x="0" y="295275"/>
                  </a:lnTo>
                  <a:lnTo>
                    <a:pt x="209550" y="209550"/>
                  </a:lnTo>
                  <a:lnTo>
                    <a:pt x="295275" y="0"/>
                  </a:lnTo>
                  <a:close/>
                </a:path>
              </a:pathLst>
            </a:custGeom>
            <a:solidFill>
              <a:srgbClr val="000000"/>
            </a:solidFill>
            <a:ln w="9525" cap="flat">
              <a:solidFill>
                <a:schemeClr val="bg1"/>
              </a:solidFill>
              <a:prstDash val="solid"/>
              <a:miter/>
            </a:ln>
          </xdr:spPr>
          <xdr:txBody>
            <a:bodyPr rtlCol="0" anchor="ctr"/>
            <a:lstStyle/>
            <a:p>
              <a:endParaRPr lang="en-US"/>
            </a:p>
          </xdr:txBody>
        </xdr:sp>
        <xdr:sp macro="" textlink="">
          <xdr:nvSpPr>
            <xdr:cNvPr id="14" name="Freeform: Shape 13">
              <a:extLst>
                <a:ext uri="{FF2B5EF4-FFF2-40B4-BE49-F238E27FC236}">
                  <a16:creationId xmlns:a16="http://schemas.microsoft.com/office/drawing/2014/main" id="{32FA47D6-0E5B-38CA-E153-7A6089A1B02E}"/>
                </a:ext>
              </a:extLst>
            </xdr:cNvPr>
            <xdr:cNvSpPr/>
          </xdr:nvSpPr>
          <xdr:spPr>
            <a:xfrm>
              <a:off x="5743928" y="1425928"/>
              <a:ext cx="38100" cy="38100"/>
            </a:xfrm>
            <a:custGeom>
              <a:avLst/>
              <a:gdLst>
                <a:gd name="connsiteX0" fmla="*/ 38100 w 38100"/>
                <a:gd name="connsiteY0" fmla="*/ 19050 h 38100"/>
                <a:gd name="connsiteX1" fmla="*/ 19050 w 38100"/>
                <a:gd name="connsiteY1" fmla="*/ 38100 h 38100"/>
                <a:gd name="connsiteX2" fmla="*/ 0 w 38100"/>
                <a:gd name="connsiteY2" fmla="*/ 19050 h 38100"/>
                <a:gd name="connsiteX3" fmla="*/ 19050 w 38100"/>
                <a:gd name="connsiteY3" fmla="*/ 0 h 38100"/>
                <a:gd name="connsiteX4" fmla="*/ 38100 w 38100"/>
                <a:gd name="connsiteY4" fmla="*/ 19050 h 381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8100" h="38100">
                  <a:moveTo>
                    <a:pt x="38100" y="19050"/>
                  </a:moveTo>
                  <a:cubicBezTo>
                    <a:pt x="38100" y="29571"/>
                    <a:pt x="29571" y="38100"/>
                    <a:pt x="19050" y="38100"/>
                  </a:cubicBezTo>
                  <a:cubicBezTo>
                    <a:pt x="8529" y="38100"/>
                    <a:pt x="0" y="29571"/>
                    <a:pt x="0" y="19050"/>
                  </a:cubicBezTo>
                  <a:cubicBezTo>
                    <a:pt x="0" y="8529"/>
                    <a:pt x="8529" y="0"/>
                    <a:pt x="19050" y="0"/>
                  </a:cubicBezTo>
                  <a:cubicBezTo>
                    <a:pt x="29571" y="0"/>
                    <a:pt x="38100" y="8529"/>
                    <a:pt x="38100" y="19050"/>
                  </a:cubicBezTo>
                  <a:close/>
                </a:path>
              </a:pathLst>
            </a:custGeom>
            <a:solidFill>
              <a:srgbClr val="000000"/>
            </a:solidFill>
            <a:ln w="9525" cap="flat">
              <a:solidFill>
                <a:schemeClr val="bg1"/>
              </a:solidFill>
              <a:prstDash val="solid"/>
              <a:miter/>
            </a:ln>
          </xdr:spPr>
          <xdr:txBody>
            <a:bodyPr rtlCol="0" anchor="ctr"/>
            <a:lstStyle/>
            <a:p>
              <a:endParaRPr lang="en-US"/>
            </a:p>
          </xdr:txBody>
        </xdr:sp>
      </xdr:grpSp>
    </xdr:grpSp>
    <xdr:clientData/>
  </xdr:twoCellAnchor>
  <xdr:twoCellAnchor>
    <xdr:from>
      <xdr:col>22</xdr:col>
      <xdr:colOff>14111</xdr:colOff>
      <xdr:row>1</xdr:row>
      <xdr:rowOff>169333</xdr:rowOff>
    </xdr:from>
    <xdr:to>
      <xdr:col>22</xdr:col>
      <xdr:colOff>288431</xdr:colOff>
      <xdr:row>2</xdr:row>
      <xdr:rowOff>21167</xdr:rowOff>
    </xdr:to>
    <xdr:sp macro="" textlink="">
      <xdr:nvSpPr>
        <xdr:cNvPr id="15" name="Rectangle: Rounded Corners 14">
          <a:extLst>
            <a:ext uri="{FF2B5EF4-FFF2-40B4-BE49-F238E27FC236}">
              <a16:creationId xmlns:a16="http://schemas.microsoft.com/office/drawing/2014/main" id="{5238D8C5-6C3A-4B97-AAA9-68030547CBBA}"/>
            </a:ext>
          </a:extLst>
        </xdr:cNvPr>
        <xdr:cNvSpPr/>
      </xdr:nvSpPr>
      <xdr:spPr>
        <a:xfrm>
          <a:off x="14605000" y="366889"/>
          <a:ext cx="274320" cy="49389"/>
        </a:xfrm>
        <a:prstGeom prst="roundRect">
          <a:avLst>
            <a:gd name="adj" fmla="val 49099"/>
          </a:avLst>
        </a:prstGeom>
        <a:solidFill>
          <a:srgbClr val="194AF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126996</xdr:colOff>
      <xdr:row>0</xdr:row>
      <xdr:rowOff>35278</xdr:rowOff>
    </xdr:from>
    <xdr:to>
      <xdr:col>7</xdr:col>
      <xdr:colOff>35273</xdr:colOff>
      <xdr:row>2</xdr:row>
      <xdr:rowOff>7056</xdr:rowOff>
    </xdr:to>
    <xdr:sp macro="" textlink="">
      <xdr:nvSpPr>
        <xdr:cNvPr id="16" name="TextBox 15">
          <a:extLst>
            <a:ext uri="{FF2B5EF4-FFF2-40B4-BE49-F238E27FC236}">
              <a16:creationId xmlns:a16="http://schemas.microsoft.com/office/drawing/2014/main" id="{230D00D6-9B7F-4DE0-B34B-15A330B424CA}"/>
            </a:ext>
          </a:extLst>
        </xdr:cNvPr>
        <xdr:cNvSpPr txBox="1"/>
      </xdr:nvSpPr>
      <xdr:spPr>
        <a:xfrm>
          <a:off x="2116663" y="35278"/>
          <a:ext cx="2561166" cy="3668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1"/>
              </a:solidFill>
              <a:latin typeface="Avenir"/>
            </a:rPr>
            <a:t>FEEDLOT ECONOMICS</a:t>
          </a:r>
        </a:p>
      </xdr:txBody>
    </xdr:sp>
    <xdr:clientData/>
  </xdr:twoCellAnchor>
  <xdr:oneCellAnchor>
    <xdr:from>
      <xdr:col>12</xdr:col>
      <xdr:colOff>302427</xdr:colOff>
      <xdr:row>0</xdr:row>
      <xdr:rowOff>85146</xdr:rowOff>
    </xdr:from>
    <xdr:ext cx="1582293" cy="280205"/>
    <xdr:sp macro="[0]!Refresh_Pivot_Adeolu" textlink="">
      <xdr:nvSpPr>
        <xdr:cNvPr id="5" name="TextBox 4">
          <a:extLst>
            <a:ext uri="{FF2B5EF4-FFF2-40B4-BE49-F238E27FC236}">
              <a16:creationId xmlns:a16="http://schemas.microsoft.com/office/drawing/2014/main" id="{E9461B3D-D698-446E-8950-C5DD9C16BDD5}"/>
            </a:ext>
          </a:extLst>
        </xdr:cNvPr>
        <xdr:cNvSpPr txBox="1"/>
      </xdr:nvSpPr>
      <xdr:spPr>
        <a:xfrm>
          <a:off x="8261094" y="85146"/>
          <a:ext cx="1582293"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0" cap="none" spc="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rPr>
            <a:t>Let the Magic Happen</a:t>
          </a:r>
        </a:p>
      </xdr:txBody>
    </xdr:sp>
    <xdr:clientData/>
  </xdr:oneCellAnchor>
  <xdr:twoCellAnchor editAs="oneCell">
    <xdr:from>
      <xdr:col>12</xdr:col>
      <xdr:colOff>28223</xdr:colOff>
      <xdr:row>0</xdr:row>
      <xdr:rowOff>63500</xdr:rowOff>
    </xdr:from>
    <xdr:to>
      <xdr:col>12</xdr:col>
      <xdr:colOff>351783</xdr:colOff>
      <xdr:row>1</xdr:row>
      <xdr:rowOff>179979</xdr:rowOff>
    </xdr:to>
    <xdr:pic macro="[0]!Refresh_Pivot_Adeolu">
      <xdr:nvPicPr>
        <xdr:cNvPr id="17" name="Graphic 16" descr="Repeat with solid fill">
          <a:extLst>
            <a:ext uri="{FF2B5EF4-FFF2-40B4-BE49-F238E27FC236}">
              <a16:creationId xmlns:a16="http://schemas.microsoft.com/office/drawing/2014/main" id="{9945DA29-4679-4AE0-813B-55FC5CBB383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986890" y="63500"/>
          <a:ext cx="329910" cy="329910"/>
        </a:xfrm>
        <a:prstGeom prst="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pic>
    <xdr:clientData/>
  </xdr:twoCellAnchor>
  <xdr:twoCellAnchor editAs="oneCell">
    <xdr:from>
      <xdr:col>0</xdr:col>
      <xdr:colOff>578559</xdr:colOff>
      <xdr:row>10</xdr:row>
      <xdr:rowOff>112883</xdr:rowOff>
    </xdr:from>
    <xdr:to>
      <xdr:col>5</xdr:col>
      <xdr:colOff>125818</xdr:colOff>
      <xdr:row>12</xdr:row>
      <xdr:rowOff>126995</xdr:rowOff>
    </xdr:to>
    <mc:AlternateContent xmlns:mc="http://schemas.openxmlformats.org/markup-compatibility/2006" xmlns:a14="http://schemas.microsoft.com/office/drawing/2010/main">
      <mc:Choice Requires="a14">
        <xdr:graphicFrame macro="">
          <xdr:nvGraphicFramePr>
            <xdr:cNvPr id="18" name="Year  3">
              <a:extLst>
                <a:ext uri="{FF2B5EF4-FFF2-40B4-BE49-F238E27FC236}">
                  <a16:creationId xmlns:a16="http://schemas.microsoft.com/office/drawing/2014/main" id="{AB329533-78EA-4C0A-B154-33F328CB68BC}"/>
                </a:ext>
              </a:extLst>
            </xdr:cNvPr>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578559" y="2116661"/>
              <a:ext cx="2857020" cy="4092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550330</xdr:colOff>
      <xdr:row>12</xdr:row>
      <xdr:rowOff>112886</xdr:rowOff>
    </xdr:from>
    <xdr:to>
      <xdr:col>5</xdr:col>
      <xdr:colOff>23988</xdr:colOff>
      <xdr:row>19</xdr:row>
      <xdr:rowOff>148163</xdr:rowOff>
    </xdr:to>
    <xdr:grpSp>
      <xdr:nvGrpSpPr>
        <xdr:cNvPr id="20" name="Group 19">
          <a:extLst>
            <a:ext uri="{FF2B5EF4-FFF2-40B4-BE49-F238E27FC236}">
              <a16:creationId xmlns:a16="http://schemas.microsoft.com/office/drawing/2014/main" id="{3C8DFF85-9588-422F-922B-7185670E8E7F}"/>
            </a:ext>
          </a:extLst>
        </xdr:cNvPr>
        <xdr:cNvGrpSpPr/>
      </xdr:nvGrpSpPr>
      <xdr:grpSpPr>
        <a:xfrm>
          <a:off x="550330" y="2541761"/>
          <a:ext cx="2762958" cy="1432277"/>
          <a:chOff x="406398" y="2758722"/>
          <a:chExt cx="2768602" cy="1418166"/>
        </a:xfrm>
      </xdr:grpSpPr>
      <xdr:sp macro="" textlink="">
        <xdr:nvSpPr>
          <xdr:cNvPr id="21" name="TextBox 20">
            <a:extLst>
              <a:ext uri="{FF2B5EF4-FFF2-40B4-BE49-F238E27FC236}">
                <a16:creationId xmlns:a16="http://schemas.microsoft.com/office/drawing/2014/main" id="{DEED7AF9-F7EA-41CA-2732-4001BAAADF1E}"/>
              </a:ext>
            </a:extLst>
          </xdr:cNvPr>
          <xdr:cNvSpPr txBox="1"/>
        </xdr:nvSpPr>
        <xdr:spPr>
          <a:xfrm>
            <a:off x="437443" y="2758722"/>
            <a:ext cx="2737557" cy="5432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latin typeface="Avenir Next LT Pro Light" panose="020B0304020202020204" pitchFamily="34" charset="0"/>
              </a:rPr>
              <a:t>Total Revenue</a:t>
            </a:r>
          </a:p>
        </xdr:txBody>
      </xdr:sp>
      <xdr:sp macro="" textlink="'Pivot Tables'!R4">
        <xdr:nvSpPr>
          <xdr:cNvPr id="22" name="TextBox 21">
            <a:extLst>
              <a:ext uri="{FF2B5EF4-FFF2-40B4-BE49-F238E27FC236}">
                <a16:creationId xmlns:a16="http://schemas.microsoft.com/office/drawing/2014/main" id="{4917DF6E-929C-4CC0-CFDC-DAA8DB919626}"/>
              </a:ext>
            </a:extLst>
          </xdr:cNvPr>
          <xdr:cNvSpPr txBox="1"/>
        </xdr:nvSpPr>
        <xdr:spPr>
          <a:xfrm>
            <a:off x="406398" y="3139723"/>
            <a:ext cx="2701940" cy="670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F374110-9046-4AE3-A738-CFE5430922D6}" type="TxLink">
              <a:rPr lang="en-US" sz="3500" b="0" i="0" u="none" strike="noStrike">
                <a:solidFill>
                  <a:schemeClr val="accent4">
                    <a:lumMod val="60000"/>
                    <a:lumOff val="40000"/>
                  </a:schemeClr>
                </a:solidFill>
                <a:latin typeface="Agency FB" panose="020B0503020202020204" pitchFamily="34" charset="0"/>
                <a:ea typeface="ADLaM Display" panose="02010000000000000000" pitchFamily="2" charset="0"/>
                <a:cs typeface="Angsana New" panose="020B0502040204020203" pitchFamily="18" charset="-34"/>
              </a:rPr>
              <a:pPr/>
              <a:t>$2,307,410</a:t>
            </a:fld>
            <a:endParaRPr lang="en-US" sz="3500" b="0">
              <a:solidFill>
                <a:schemeClr val="accent4">
                  <a:lumMod val="60000"/>
                  <a:lumOff val="40000"/>
                </a:schemeClr>
              </a:solidFill>
              <a:latin typeface="Agency FB" panose="020B0503020202020204" pitchFamily="34" charset="0"/>
              <a:ea typeface="ADLaM Display" panose="02010000000000000000" pitchFamily="2" charset="0"/>
              <a:cs typeface="Angsana New" panose="020B0502040204020203" pitchFamily="18" charset="-34"/>
            </a:endParaRPr>
          </a:p>
        </xdr:txBody>
      </xdr:sp>
      <xdr:sp macro="" textlink="'Pivot Tables'!Q4">
        <xdr:nvSpPr>
          <xdr:cNvPr id="23" name="TextBox 22">
            <a:extLst>
              <a:ext uri="{FF2B5EF4-FFF2-40B4-BE49-F238E27FC236}">
                <a16:creationId xmlns:a16="http://schemas.microsoft.com/office/drawing/2014/main" id="{06FFCE7B-9554-FFB8-BAC6-4FD1B03C3FB8}"/>
              </a:ext>
            </a:extLst>
          </xdr:cNvPr>
          <xdr:cNvSpPr txBox="1"/>
        </xdr:nvSpPr>
        <xdr:spPr>
          <a:xfrm>
            <a:off x="1603022" y="3852333"/>
            <a:ext cx="1554959" cy="324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BDD8EE7-E8B9-4C2F-8DF2-7709C1B1694B}" type="TxLink">
              <a:rPr lang="en-US" sz="1600" b="0" i="0" u="none" strike="noStrike">
                <a:solidFill>
                  <a:schemeClr val="accent4">
                    <a:lumMod val="60000"/>
                    <a:lumOff val="40000"/>
                  </a:schemeClr>
                </a:solidFill>
                <a:latin typeface="Agency FB" panose="020B0503020202020204" pitchFamily="34" charset="0"/>
                <a:ea typeface="Calibri"/>
                <a:cs typeface="Calibri"/>
              </a:rPr>
              <a:pPr/>
              <a:t>$2,124,956</a:t>
            </a:fld>
            <a:endParaRPr lang="en-US" sz="2000" b="0">
              <a:solidFill>
                <a:schemeClr val="accent4">
                  <a:lumMod val="60000"/>
                  <a:lumOff val="40000"/>
                </a:schemeClr>
              </a:solidFill>
              <a:latin typeface="Agency FB" panose="020B0503020202020204" pitchFamily="34" charset="0"/>
            </a:endParaRPr>
          </a:p>
        </xdr:txBody>
      </xdr:sp>
      <xdr:sp macro="" textlink="">
        <xdr:nvSpPr>
          <xdr:cNvPr id="24" name="TextBox 23">
            <a:extLst>
              <a:ext uri="{FF2B5EF4-FFF2-40B4-BE49-F238E27FC236}">
                <a16:creationId xmlns:a16="http://schemas.microsoft.com/office/drawing/2014/main" id="{FFA76F36-0CF6-197B-9AB4-A5CEA41D36A0}"/>
              </a:ext>
            </a:extLst>
          </xdr:cNvPr>
          <xdr:cNvSpPr txBox="1"/>
        </xdr:nvSpPr>
        <xdr:spPr>
          <a:xfrm>
            <a:off x="448732" y="3894667"/>
            <a:ext cx="1435101" cy="265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solidFill>
                <a:latin typeface="Avenir Next LT Pro Light" panose="020B0304020202020204" pitchFamily="34" charset="0"/>
              </a:rPr>
              <a:t>Total Expenses</a:t>
            </a:r>
          </a:p>
        </xdr:txBody>
      </xdr:sp>
    </xdr:grpSp>
    <xdr:clientData/>
  </xdr:twoCellAnchor>
  <xdr:twoCellAnchor>
    <xdr:from>
      <xdr:col>1</xdr:col>
      <xdr:colOff>14112</xdr:colOff>
      <xdr:row>20</xdr:row>
      <xdr:rowOff>35279</xdr:rowOff>
    </xdr:from>
    <xdr:to>
      <xdr:col>3</xdr:col>
      <xdr:colOff>656162</xdr:colOff>
      <xdr:row>24</xdr:row>
      <xdr:rowOff>119945</xdr:rowOff>
    </xdr:to>
    <xdr:grpSp>
      <xdr:nvGrpSpPr>
        <xdr:cNvPr id="25" name="Group 24">
          <a:extLst>
            <a:ext uri="{FF2B5EF4-FFF2-40B4-BE49-F238E27FC236}">
              <a16:creationId xmlns:a16="http://schemas.microsoft.com/office/drawing/2014/main" id="{04232C91-834A-4054-861E-AB1FEC8E8000}"/>
            </a:ext>
          </a:extLst>
        </xdr:cNvPr>
        <xdr:cNvGrpSpPr/>
      </xdr:nvGrpSpPr>
      <xdr:grpSpPr>
        <a:xfrm>
          <a:off x="668162" y="4064354"/>
          <a:ext cx="1962850" cy="887941"/>
          <a:chOff x="578557" y="4007554"/>
          <a:chExt cx="1968495" cy="874889"/>
        </a:xfrm>
      </xdr:grpSpPr>
      <xdr:sp macro="" textlink="">
        <xdr:nvSpPr>
          <xdr:cNvPr id="26" name="Rectangle: Rounded Corners 25">
            <a:extLst>
              <a:ext uri="{FF2B5EF4-FFF2-40B4-BE49-F238E27FC236}">
                <a16:creationId xmlns:a16="http://schemas.microsoft.com/office/drawing/2014/main" id="{7C3D7629-D5A9-6884-F85C-4248EBFB390C}"/>
              </a:ext>
            </a:extLst>
          </xdr:cNvPr>
          <xdr:cNvSpPr/>
        </xdr:nvSpPr>
        <xdr:spPr>
          <a:xfrm>
            <a:off x="578557" y="4007554"/>
            <a:ext cx="1721553" cy="874889"/>
          </a:xfrm>
          <a:prstGeom prst="roundRect">
            <a:avLst>
              <a:gd name="adj" fmla="val 18645"/>
            </a:avLst>
          </a:prstGeom>
          <a:solidFill>
            <a:srgbClr val="070E25"/>
          </a:solidFill>
          <a:ln>
            <a:solidFill>
              <a:schemeClr val="bg2">
                <a:lumMod val="1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TextBox 26">
            <a:extLst>
              <a:ext uri="{FF2B5EF4-FFF2-40B4-BE49-F238E27FC236}">
                <a16:creationId xmlns:a16="http://schemas.microsoft.com/office/drawing/2014/main" id="{2BED9416-A03B-0C06-859F-7FB2177E6ED4}"/>
              </a:ext>
            </a:extLst>
          </xdr:cNvPr>
          <xdr:cNvSpPr txBox="1"/>
        </xdr:nvSpPr>
        <xdr:spPr>
          <a:xfrm>
            <a:off x="593765" y="4374457"/>
            <a:ext cx="1480567" cy="303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solidFill>
                <a:latin typeface="Avenir Next LT Pro Light" panose="020B0304020202020204" pitchFamily="34" charset="0"/>
              </a:rPr>
              <a:t>Production Cost</a:t>
            </a:r>
            <a:r>
              <a:rPr lang="en-US" sz="1000" baseline="0">
                <a:solidFill>
                  <a:schemeClr val="bg1"/>
                </a:solidFill>
                <a:latin typeface="Avenir Next LT Pro Light" panose="020B0304020202020204" pitchFamily="34" charset="0"/>
              </a:rPr>
              <a:t>:</a:t>
            </a:r>
            <a:endParaRPr lang="en-US" sz="1000">
              <a:solidFill>
                <a:schemeClr val="bg1"/>
              </a:solidFill>
              <a:latin typeface="Avenir Next LT Pro Light" panose="020B0304020202020204" pitchFamily="34" charset="0"/>
            </a:endParaRPr>
          </a:p>
        </xdr:txBody>
      </xdr:sp>
      <xdr:sp macro="" textlink="">
        <xdr:nvSpPr>
          <xdr:cNvPr id="28" name="TextBox 27">
            <a:extLst>
              <a:ext uri="{FF2B5EF4-FFF2-40B4-BE49-F238E27FC236}">
                <a16:creationId xmlns:a16="http://schemas.microsoft.com/office/drawing/2014/main" id="{DD775842-EEE9-4D3B-FBB8-267DD63EFDA7}"/>
              </a:ext>
            </a:extLst>
          </xdr:cNvPr>
          <xdr:cNvSpPr txBox="1"/>
        </xdr:nvSpPr>
        <xdr:spPr>
          <a:xfrm>
            <a:off x="590945" y="4562130"/>
            <a:ext cx="1363444" cy="285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solidFill>
                <a:latin typeface="Avenir Next LT Pro Light" panose="020B0304020202020204" pitchFamily="34" charset="0"/>
              </a:rPr>
              <a:t>Gross Profit</a:t>
            </a:r>
            <a:r>
              <a:rPr lang="en-US" sz="1000" baseline="0">
                <a:solidFill>
                  <a:schemeClr val="bg1"/>
                </a:solidFill>
                <a:latin typeface="Avenir Next LT Pro Light" panose="020B0304020202020204" pitchFamily="34" charset="0"/>
              </a:rPr>
              <a:t>:</a:t>
            </a:r>
            <a:endParaRPr lang="en-US" sz="1000">
              <a:solidFill>
                <a:schemeClr val="bg1"/>
              </a:solidFill>
              <a:latin typeface="Avenir Next LT Pro Light" panose="020B0304020202020204" pitchFamily="34" charset="0"/>
            </a:endParaRPr>
          </a:p>
        </xdr:txBody>
      </xdr:sp>
      <xdr:sp macro="" textlink="'Pivot Tables'!BK4">
        <xdr:nvSpPr>
          <xdr:cNvPr id="29" name="TextBox 28">
            <a:extLst>
              <a:ext uri="{FF2B5EF4-FFF2-40B4-BE49-F238E27FC236}">
                <a16:creationId xmlns:a16="http://schemas.microsoft.com/office/drawing/2014/main" id="{201A9C44-E1AB-AB9C-2F10-4FE869D27990}"/>
              </a:ext>
            </a:extLst>
          </xdr:cNvPr>
          <xdr:cNvSpPr txBox="1"/>
        </xdr:nvSpPr>
        <xdr:spPr>
          <a:xfrm>
            <a:off x="1663867" y="4572004"/>
            <a:ext cx="883185" cy="275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FBEEC0B-A57E-41DB-B86D-8B3A965A77C8}" type="TxLink">
              <a:rPr lang="en-US" sz="1100" b="1" i="0" u="none" strike="noStrike">
                <a:solidFill>
                  <a:schemeClr val="bg1"/>
                </a:solidFill>
                <a:latin typeface="Avenir Next LT Pro" panose="020B0504020202020204" pitchFamily="34" charset="0"/>
                <a:ea typeface="Calibri"/>
                <a:cs typeface="Calibri"/>
              </a:rPr>
              <a:pPr/>
              <a:t>$182</a:t>
            </a:fld>
            <a:endParaRPr lang="en-US" sz="1050" b="1">
              <a:solidFill>
                <a:schemeClr val="bg1"/>
              </a:solidFill>
              <a:latin typeface="Avenir Next LT Pro" panose="020B0504020202020204" pitchFamily="34" charset="0"/>
              <a:cs typeface="Arial" panose="020B0604020202020204" pitchFamily="34" charset="0"/>
            </a:endParaRPr>
          </a:p>
        </xdr:txBody>
      </xdr:sp>
      <xdr:sp macro="" textlink="">
        <xdr:nvSpPr>
          <xdr:cNvPr id="30" name="TextBox 29">
            <a:extLst>
              <a:ext uri="{FF2B5EF4-FFF2-40B4-BE49-F238E27FC236}">
                <a16:creationId xmlns:a16="http://schemas.microsoft.com/office/drawing/2014/main" id="{DB14BA99-A26F-196E-C678-CA1D4E248045}"/>
              </a:ext>
            </a:extLst>
          </xdr:cNvPr>
          <xdr:cNvSpPr txBox="1"/>
        </xdr:nvSpPr>
        <xdr:spPr>
          <a:xfrm>
            <a:off x="964889" y="4018848"/>
            <a:ext cx="926001" cy="235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u="sng">
                <a:solidFill>
                  <a:schemeClr val="bg1"/>
                </a:solidFill>
                <a:latin typeface="Avenir Next LT Pro Light" panose="020B0304020202020204" pitchFamily="34" charset="0"/>
              </a:rPr>
              <a:t>Per Head</a:t>
            </a:r>
          </a:p>
        </xdr:txBody>
      </xdr:sp>
      <xdr:sp macro="" textlink="'Pivot Tables'!BJ4">
        <xdr:nvSpPr>
          <xdr:cNvPr id="31" name="TextBox 30">
            <a:extLst>
              <a:ext uri="{FF2B5EF4-FFF2-40B4-BE49-F238E27FC236}">
                <a16:creationId xmlns:a16="http://schemas.microsoft.com/office/drawing/2014/main" id="{6B31D7CA-1062-7961-8F92-51CBAAF0E5D5}"/>
              </a:ext>
            </a:extLst>
          </xdr:cNvPr>
          <xdr:cNvSpPr txBox="1"/>
        </xdr:nvSpPr>
        <xdr:spPr>
          <a:xfrm>
            <a:off x="1646933" y="4364572"/>
            <a:ext cx="883185" cy="275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AECF7CD-39D9-424B-A72E-40CC30FB39AF}" type="TxLink">
              <a:rPr lang="en-US" sz="1100" b="1" i="0" u="none" strike="noStrike">
                <a:solidFill>
                  <a:schemeClr val="bg1"/>
                </a:solidFill>
                <a:latin typeface="Avenir Next LT Pro" panose="020B0504020202020204" pitchFamily="34" charset="0"/>
                <a:ea typeface="Calibri"/>
                <a:cs typeface="Calibri"/>
              </a:rPr>
              <a:pPr/>
              <a:t>$2,125</a:t>
            </a:fld>
            <a:endParaRPr lang="en-US" sz="1050" b="1">
              <a:solidFill>
                <a:schemeClr val="bg1"/>
              </a:solidFill>
              <a:latin typeface="Avenir Next LT Pro" panose="020B0504020202020204" pitchFamily="34" charset="0"/>
            </a:endParaRPr>
          </a:p>
        </xdr:txBody>
      </xdr:sp>
    </xdr:grpSp>
    <xdr:clientData/>
  </xdr:twoCellAnchor>
  <xdr:twoCellAnchor>
    <xdr:from>
      <xdr:col>0</xdr:col>
      <xdr:colOff>507996</xdr:colOff>
      <xdr:row>24</xdr:row>
      <xdr:rowOff>134051</xdr:rowOff>
    </xdr:from>
    <xdr:to>
      <xdr:col>4</xdr:col>
      <xdr:colOff>440263</xdr:colOff>
      <xdr:row>29</xdr:row>
      <xdr:rowOff>106676</xdr:rowOff>
    </xdr:to>
    <xdr:graphicFrame macro="">
      <xdr:nvGraphicFramePr>
        <xdr:cNvPr id="32" name="Chart 31">
          <a:extLst>
            <a:ext uri="{FF2B5EF4-FFF2-40B4-BE49-F238E27FC236}">
              <a16:creationId xmlns:a16="http://schemas.microsoft.com/office/drawing/2014/main" id="{2335A89B-485B-4C04-8684-E4AC4C3BC5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409220</xdr:colOff>
      <xdr:row>3</xdr:row>
      <xdr:rowOff>70551</xdr:rowOff>
    </xdr:from>
    <xdr:to>
      <xdr:col>6</xdr:col>
      <xdr:colOff>235556</xdr:colOff>
      <xdr:row>7</xdr:row>
      <xdr:rowOff>181355</xdr:rowOff>
    </xdr:to>
    <xdr:sp macro="" textlink="">
      <xdr:nvSpPr>
        <xdr:cNvPr id="33" name="TextBox 32">
          <a:extLst>
            <a:ext uri="{FF2B5EF4-FFF2-40B4-BE49-F238E27FC236}">
              <a16:creationId xmlns:a16="http://schemas.microsoft.com/office/drawing/2014/main" id="{E3D071CD-0A11-470B-BBF9-B3F561BD2D57}"/>
            </a:ext>
          </a:extLst>
        </xdr:cNvPr>
        <xdr:cNvSpPr txBox="1"/>
      </xdr:nvSpPr>
      <xdr:spPr>
        <a:xfrm>
          <a:off x="409220" y="663218"/>
          <a:ext cx="3805669" cy="901026"/>
        </a:xfrm>
        <a:prstGeom prst="rect">
          <a:avLst/>
        </a:prstGeom>
        <a:noFill/>
        <a:ln w="9525" cmpd="sng">
          <a:noFill/>
        </a:ln>
        <a:effectLst>
          <a:glow rad="63500">
            <a:schemeClr val="accent3">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aseline="0">
              <a:ln>
                <a:noFill/>
              </a:ln>
              <a:solidFill>
                <a:srgbClr val="98F8F2"/>
              </a:solidFill>
              <a:effectLst>
                <a:glow rad="177800">
                  <a:srgbClr val="194AFE">
                    <a:alpha val="55000"/>
                  </a:srgbClr>
                </a:glow>
              </a:effectLst>
              <a:latin typeface="Amasis MT Pro Black" panose="020F0502020204030204" pitchFamily="18" charset="0"/>
            </a:rPr>
            <a:t>Visualizing cost of production and potential returns for Texan Feedlots</a:t>
          </a:r>
          <a:endParaRPr lang="en-US" sz="1600">
            <a:ln>
              <a:noFill/>
            </a:ln>
            <a:solidFill>
              <a:srgbClr val="98F8F2"/>
            </a:solidFill>
            <a:effectLst>
              <a:glow rad="177800">
                <a:srgbClr val="194AFE">
                  <a:alpha val="55000"/>
                </a:srgbClr>
              </a:glow>
            </a:effectLst>
            <a:latin typeface="Amasis MT Pro Black" panose="020F0502020204030204" pitchFamily="18" charset="0"/>
          </a:endParaRPr>
        </a:p>
      </xdr:txBody>
    </xdr:sp>
    <xdr:clientData/>
  </xdr:twoCellAnchor>
  <xdr:twoCellAnchor>
    <xdr:from>
      <xdr:col>9</xdr:col>
      <xdr:colOff>282222</xdr:colOff>
      <xdr:row>3</xdr:row>
      <xdr:rowOff>98777</xdr:rowOff>
    </xdr:from>
    <xdr:to>
      <xdr:col>15</xdr:col>
      <xdr:colOff>7056</xdr:colOff>
      <xdr:row>5</xdr:row>
      <xdr:rowOff>84669</xdr:rowOff>
    </xdr:to>
    <xdr:sp macro="" textlink="">
      <xdr:nvSpPr>
        <xdr:cNvPr id="50" name="TextBox 49">
          <a:extLst>
            <a:ext uri="{FF2B5EF4-FFF2-40B4-BE49-F238E27FC236}">
              <a16:creationId xmlns:a16="http://schemas.microsoft.com/office/drawing/2014/main" id="{40708396-E638-479B-8ED2-45FEC74E5558}"/>
            </a:ext>
          </a:extLst>
        </xdr:cNvPr>
        <xdr:cNvSpPr txBox="1"/>
      </xdr:nvSpPr>
      <xdr:spPr>
        <a:xfrm>
          <a:off x="6187722" y="691444"/>
          <a:ext cx="3661834" cy="381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latin typeface="Avenir Next LT Pro Light" panose="020B0304020202020204" pitchFamily="34" charset="0"/>
            </a:rPr>
            <a:t>INVESTMENT OPTIMIZATION</a:t>
          </a:r>
        </a:p>
      </xdr:txBody>
    </xdr:sp>
    <xdr:clientData/>
  </xdr:twoCellAnchor>
  <xdr:twoCellAnchor>
    <xdr:from>
      <xdr:col>14</xdr:col>
      <xdr:colOff>547424</xdr:colOff>
      <xdr:row>3</xdr:row>
      <xdr:rowOff>80032</xdr:rowOff>
    </xdr:from>
    <xdr:to>
      <xdr:col>15</xdr:col>
      <xdr:colOff>274399</xdr:colOff>
      <xdr:row>5</xdr:row>
      <xdr:rowOff>41120</xdr:rowOff>
    </xdr:to>
    <xdr:grpSp>
      <xdr:nvGrpSpPr>
        <xdr:cNvPr id="66" name="Group 65">
          <a:extLst>
            <a:ext uri="{FF2B5EF4-FFF2-40B4-BE49-F238E27FC236}">
              <a16:creationId xmlns:a16="http://schemas.microsoft.com/office/drawing/2014/main" id="{1612D3BC-66FB-CCCD-AD64-4D611EFBF358}"/>
            </a:ext>
          </a:extLst>
        </xdr:cNvPr>
        <xdr:cNvGrpSpPr/>
      </xdr:nvGrpSpPr>
      <xdr:grpSpPr>
        <a:xfrm rot="1142347">
          <a:off x="9745399" y="683282"/>
          <a:ext cx="390550" cy="357963"/>
          <a:chOff x="10785034" y="700921"/>
          <a:chExt cx="383142" cy="356199"/>
        </a:xfrm>
      </xdr:grpSpPr>
      <xdr:sp macro="" textlink="">
        <xdr:nvSpPr>
          <xdr:cNvPr id="63" name="Freeform: Shape 62">
            <a:extLst>
              <a:ext uri="{FF2B5EF4-FFF2-40B4-BE49-F238E27FC236}">
                <a16:creationId xmlns:a16="http://schemas.microsoft.com/office/drawing/2014/main" id="{3225B684-2D2F-BEC1-C39E-E8414CFAACAB}"/>
              </a:ext>
            </a:extLst>
          </xdr:cNvPr>
          <xdr:cNvSpPr/>
        </xdr:nvSpPr>
        <xdr:spPr>
          <a:xfrm>
            <a:off x="10898867" y="700921"/>
            <a:ext cx="189732" cy="189287"/>
          </a:xfrm>
          <a:custGeom>
            <a:avLst/>
            <a:gdLst>
              <a:gd name="connsiteX0" fmla="*/ 94866 w 189732"/>
              <a:gd name="connsiteY0" fmla="*/ 128270 h 189287"/>
              <a:gd name="connsiteX1" fmla="*/ 61463 w 189732"/>
              <a:gd name="connsiteY1" fmla="*/ 94866 h 189287"/>
              <a:gd name="connsiteX2" fmla="*/ 94866 w 189732"/>
              <a:gd name="connsiteY2" fmla="*/ 61463 h 189287"/>
              <a:gd name="connsiteX3" fmla="*/ 128270 w 189732"/>
              <a:gd name="connsiteY3" fmla="*/ 94866 h 189287"/>
              <a:gd name="connsiteX4" fmla="*/ 94866 w 189732"/>
              <a:gd name="connsiteY4" fmla="*/ 128270 h 189287"/>
              <a:gd name="connsiteX5" fmla="*/ 94866 w 189732"/>
              <a:gd name="connsiteY5" fmla="*/ 128270 h 189287"/>
              <a:gd name="connsiteX6" fmla="*/ 163010 w 189732"/>
              <a:gd name="connsiteY6" fmla="*/ 56563 h 189287"/>
              <a:gd name="connsiteX7" fmla="*/ 170136 w 189732"/>
              <a:gd name="connsiteY7" fmla="*/ 35631 h 189287"/>
              <a:gd name="connsiteX8" fmla="*/ 154102 w 189732"/>
              <a:gd name="connsiteY8" fmla="*/ 19597 h 189287"/>
              <a:gd name="connsiteX9" fmla="*/ 133169 w 189732"/>
              <a:gd name="connsiteY9" fmla="*/ 26723 h 189287"/>
              <a:gd name="connsiteX10" fmla="*/ 115799 w 189732"/>
              <a:gd name="connsiteY10" fmla="*/ 19597 h 189287"/>
              <a:gd name="connsiteX11" fmla="*/ 106001 w 189732"/>
              <a:gd name="connsiteY11" fmla="*/ 0 h 189287"/>
              <a:gd name="connsiteX12" fmla="*/ 83732 w 189732"/>
              <a:gd name="connsiteY12" fmla="*/ 0 h 189287"/>
              <a:gd name="connsiteX13" fmla="*/ 73933 w 189732"/>
              <a:gd name="connsiteY13" fmla="*/ 19597 h 189287"/>
              <a:gd name="connsiteX14" fmla="*/ 56563 w 189732"/>
              <a:gd name="connsiteY14" fmla="*/ 26723 h 189287"/>
              <a:gd name="connsiteX15" fmla="*/ 35631 w 189732"/>
              <a:gd name="connsiteY15" fmla="*/ 19597 h 189287"/>
              <a:gd name="connsiteX16" fmla="*/ 20042 w 189732"/>
              <a:gd name="connsiteY16" fmla="*/ 35185 h 189287"/>
              <a:gd name="connsiteX17" fmla="*/ 26723 w 189732"/>
              <a:gd name="connsiteY17" fmla="*/ 56118 h 189287"/>
              <a:gd name="connsiteX18" fmla="*/ 19597 w 189732"/>
              <a:gd name="connsiteY18" fmla="*/ 73488 h 189287"/>
              <a:gd name="connsiteX19" fmla="*/ 0 w 189732"/>
              <a:gd name="connsiteY19" fmla="*/ 83286 h 189287"/>
              <a:gd name="connsiteX20" fmla="*/ 0 w 189732"/>
              <a:gd name="connsiteY20" fmla="*/ 105555 h 189287"/>
              <a:gd name="connsiteX21" fmla="*/ 19597 w 189732"/>
              <a:gd name="connsiteY21" fmla="*/ 115354 h 189287"/>
              <a:gd name="connsiteX22" fmla="*/ 26723 w 189732"/>
              <a:gd name="connsiteY22" fmla="*/ 132724 h 189287"/>
              <a:gd name="connsiteX23" fmla="*/ 20042 w 189732"/>
              <a:gd name="connsiteY23" fmla="*/ 153657 h 189287"/>
              <a:gd name="connsiteX24" fmla="*/ 35631 w 189732"/>
              <a:gd name="connsiteY24" fmla="*/ 169245 h 189287"/>
              <a:gd name="connsiteX25" fmla="*/ 56563 w 189732"/>
              <a:gd name="connsiteY25" fmla="*/ 162564 h 189287"/>
              <a:gd name="connsiteX26" fmla="*/ 73933 w 189732"/>
              <a:gd name="connsiteY26" fmla="*/ 169690 h 189287"/>
              <a:gd name="connsiteX27" fmla="*/ 83732 w 189732"/>
              <a:gd name="connsiteY27" fmla="*/ 189287 h 189287"/>
              <a:gd name="connsiteX28" fmla="*/ 106001 w 189732"/>
              <a:gd name="connsiteY28" fmla="*/ 189287 h 189287"/>
              <a:gd name="connsiteX29" fmla="*/ 115799 w 189732"/>
              <a:gd name="connsiteY29" fmla="*/ 169690 h 189287"/>
              <a:gd name="connsiteX30" fmla="*/ 133169 w 189732"/>
              <a:gd name="connsiteY30" fmla="*/ 162564 h 189287"/>
              <a:gd name="connsiteX31" fmla="*/ 154102 w 189732"/>
              <a:gd name="connsiteY31" fmla="*/ 169690 h 189287"/>
              <a:gd name="connsiteX32" fmla="*/ 169690 w 189732"/>
              <a:gd name="connsiteY32" fmla="*/ 153657 h 189287"/>
              <a:gd name="connsiteX33" fmla="*/ 163010 w 189732"/>
              <a:gd name="connsiteY33" fmla="*/ 133169 h 189287"/>
              <a:gd name="connsiteX34" fmla="*/ 170136 w 189732"/>
              <a:gd name="connsiteY34" fmla="*/ 115799 h 189287"/>
              <a:gd name="connsiteX35" fmla="*/ 189732 w 189732"/>
              <a:gd name="connsiteY35" fmla="*/ 106001 h 189287"/>
              <a:gd name="connsiteX36" fmla="*/ 189732 w 189732"/>
              <a:gd name="connsiteY36" fmla="*/ 83732 h 189287"/>
              <a:gd name="connsiteX37" fmla="*/ 170136 w 189732"/>
              <a:gd name="connsiteY37" fmla="*/ 73933 h 189287"/>
              <a:gd name="connsiteX38" fmla="*/ 163010 w 189732"/>
              <a:gd name="connsiteY38" fmla="*/ 56563 h 1892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Lst>
            <a:rect l="l" t="t" r="r" b="b"/>
            <a:pathLst>
              <a:path w="189732" h="189287">
                <a:moveTo>
                  <a:pt x="94866" y="128270"/>
                </a:moveTo>
                <a:cubicBezTo>
                  <a:pt x="76160" y="128270"/>
                  <a:pt x="61463" y="113127"/>
                  <a:pt x="61463" y="94866"/>
                </a:cubicBezTo>
                <a:cubicBezTo>
                  <a:pt x="61463" y="76160"/>
                  <a:pt x="76606" y="61463"/>
                  <a:pt x="94866" y="61463"/>
                </a:cubicBezTo>
                <a:cubicBezTo>
                  <a:pt x="113572" y="61463"/>
                  <a:pt x="128270" y="76606"/>
                  <a:pt x="128270" y="94866"/>
                </a:cubicBezTo>
                <a:cubicBezTo>
                  <a:pt x="128270" y="113127"/>
                  <a:pt x="113572" y="128270"/>
                  <a:pt x="94866" y="128270"/>
                </a:cubicBezTo>
                <a:lnTo>
                  <a:pt x="94866" y="128270"/>
                </a:lnTo>
                <a:close/>
                <a:moveTo>
                  <a:pt x="163010" y="56563"/>
                </a:moveTo>
                <a:lnTo>
                  <a:pt x="170136" y="35631"/>
                </a:lnTo>
                <a:lnTo>
                  <a:pt x="154102" y="19597"/>
                </a:lnTo>
                <a:lnTo>
                  <a:pt x="133169" y="26723"/>
                </a:lnTo>
                <a:cubicBezTo>
                  <a:pt x="127824" y="23605"/>
                  <a:pt x="121589" y="21378"/>
                  <a:pt x="115799" y="19597"/>
                </a:cubicBezTo>
                <a:lnTo>
                  <a:pt x="106001" y="0"/>
                </a:lnTo>
                <a:lnTo>
                  <a:pt x="83732" y="0"/>
                </a:lnTo>
                <a:lnTo>
                  <a:pt x="73933" y="19597"/>
                </a:lnTo>
                <a:cubicBezTo>
                  <a:pt x="67698" y="21378"/>
                  <a:pt x="61908" y="23605"/>
                  <a:pt x="56563" y="26723"/>
                </a:cubicBezTo>
                <a:lnTo>
                  <a:pt x="35631" y="19597"/>
                </a:lnTo>
                <a:lnTo>
                  <a:pt x="20042" y="35185"/>
                </a:lnTo>
                <a:lnTo>
                  <a:pt x="26723" y="56118"/>
                </a:lnTo>
                <a:cubicBezTo>
                  <a:pt x="23605" y="61463"/>
                  <a:pt x="21378" y="67698"/>
                  <a:pt x="19597" y="73488"/>
                </a:cubicBezTo>
                <a:lnTo>
                  <a:pt x="0" y="83286"/>
                </a:lnTo>
                <a:lnTo>
                  <a:pt x="0" y="105555"/>
                </a:lnTo>
                <a:lnTo>
                  <a:pt x="19597" y="115354"/>
                </a:lnTo>
                <a:cubicBezTo>
                  <a:pt x="21378" y="121589"/>
                  <a:pt x="23605" y="127379"/>
                  <a:pt x="26723" y="132724"/>
                </a:cubicBezTo>
                <a:lnTo>
                  <a:pt x="20042" y="153657"/>
                </a:lnTo>
                <a:lnTo>
                  <a:pt x="35631" y="169245"/>
                </a:lnTo>
                <a:lnTo>
                  <a:pt x="56563" y="162564"/>
                </a:lnTo>
                <a:cubicBezTo>
                  <a:pt x="61908" y="165682"/>
                  <a:pt x="67698" y="167909"/>
                  <a:pt x="73933" y="169690"/>
                </a:cubicBezTo>
                <a:lnTo>
                  <a:pt x="83732" y="189287"/>
                </a:lnTo>
                <a:lnTo>
                  <a:pt x="106001" y="189287"/>
                </a:lnTo>
                <a:lnTo>
                  <a:pt x="115799" y="169690"/>
                </a:lnTo>
                <a:cubicBezTo>
                  <a:pt x="122034" y="167909"/>
                  <a:pt x="127824" y="165682"/>
                  <a:pt x="133169" y="162564"/>
                </a:cubicBezTo>
                <a:lnTo>
                  <a:pt x="154102" y="169690"/>
                </a:lnTo>
                <a:lnTo>
                  <a:pt x="169690" y="153657"/>
                </a:lnTo>
                <a:lnTo>
                  <a:pt x="163010" y="133169"/>
                </a:lnTo>
                <a:cubicBezTo>
                  <a:pt x="166127" y="127824"/>
                  <a:pt x="168354" y="122034"/>
                  <a:pt x="170136" y="115799"/>
                </a:cubicBezTo>
                <a:lnTo>
                  <a:pt x="189732" y="106001"/>
                </a:lnTo>
                <a:lnTo>
                  <a:pt x="189732" y="83732"/>
                </a:lnTo>
                <a:lnTo>
                  <a:pt x="170136" y="73933"/>
                </a:lnTo>
                <a:cubicBezTo>
                  <a:pt x="168354" y="67698"/>
                  <a:pt x="166127" y="61908"/>
                  <a:pt x="163010" y="56563"/>
                </a:cubicBezTo>
                <a:close/>
              </a:path>
            </a:pathLst>
          </a:custGeom>
          <a:solidFill>
            <a:srgbClr val="000000"/>
          </a:solidFill>
          <a:ln w="4366" cap="flat">
            <a:solidFill>
              <a:srgbClr val="98F8F2"/>
            </a:solidFill>
            <a:prstDash val="solid"/>
            <a:miter/>
          </a:ln>
        </xdr:spPr>
        <xdr:txBody>
          <a:bodyPr rtlCol="0" anchor="ctr"/>
          <a:lstStyle/>
          <a:p>
            <a:endParaRPr lang="en-US"/>
          </a:p>
        </xdr:txBody>
      </xdr:sp>
      <xdr:sp macro="" textlink="">
        <xdr:nvSpPr>
          <xdr:cNvPr id="64" name="Freeform: Shape 63">
            <a:extLst>
              <a:ext uri="{FF2B5EF4-FFF2-40B4-BE49-F238E27FC236}">
                <a16:creationId xmlns:a16="http://schemas.microsoft.com/office/drawing/2014/main" id="{0D74710C-BA92-48A3-A2D8-E96BCCFDA1E8}"/>
              </a:ext>
            </a:extLst>
          </xdr:cNvPr>
          <xdr:cNvSpPr/>
        </xdr:nvSpPr>
        <xdr:spPr>
          <a:xfrm>
            <a:off x="10785034" y="846424"/>
            <a:ext cx="189732" cy="189287"/>
          </a:xfrm>
          <a:custGeom>
            <a:avLst/>
            <a:gdLst>
              <a:gd name="connsiteX0" fmla="*/ 94866 w 189732"/>
              <a:gd name="connsiteY0" fmla="*/ 128270 h 189287"/>
              <a:gd name="connsiteX1" fmla="*/ 61463 w 189732"/>
              <a:gd name="connsiteY1" fmla="*/ 94866 h 189287"/>
              <a:gd name="connsiteX2" fmla="*/ 94866 w 189732"/>
              <a:gd name="connsiteY2" fmla="*/ 61463 h 189287"/>
              <a:gd name="connsiteX3" fmla="*/ 128270 w 189732"/>
              <a:gd name="connsiteY3" fmla="*/ 94866 h 189287"/>
              <a:gd name="connsiteX4" fmla="*/ 94866 w 189732"/>
              <a:gd name="connsiteY4" fmla="*/ 128270 h 189287"/>
              <a:gd name="connsiteX5" fmla="*/ 94866 w 189732"/>
              <a:gd name="connsiteY5" fmla="*/ 128270 h 189287"/>
              <a:gd name="connsiteX6" fmla="*/ 163010 w 189732"/>
              <a:gd name="connsiteY6" fmla="*/ 56563 h 189287"/>
              <a:gd name="connsiteX7" fmla="*/ 170136 w 189732"/>
              <a:gd name="connsiteY7" fmla="*/ 35631 h 189287"/>
              <a:gd name="connsiteX8" fmla="*/ 154102 w 189732"/>
              <a:gd name="connsiteY8" fmla="*/ 19597 h 189287"/>
              <a:gd name="connsiteX9" fmla="*/ 133169 w 189732"/>
              <a:gd name="connsiteY9" fmla="*/ 26723 h 189287"/>
              <a:gd name="connsiteX10" fmla="*/ 115799 w 189732"/>
              <a:gd name="connsiteY10" fmla="*/ 19597 h 189287"/>
              <a:gd name="connsiteX11" fmla="*/ 106001 w 189732"/>
              <a:gd name="connsiteY11" fmla="*/ 0 h 189287"/>
              <a:gd name="connsiteX12" fmla="*/ 83732 w 189732"/>
              <a:gd name="connsiteY12" fmla="*/ 0 h 189287"/>
              <a:gd name="connsiteX13" fmla="*/ 73933 w 189732"/>
              <a:gd name="connsiteY13" fmla="*/ 19597 h 189287"/>
              <a:gd name="connsiteX14" fmla="*/ 56563 w 189732"/>
              <a:gd name="connsiteY14" fmla="*/ 26723 h 189287"/>
              <a:gd name="connsiteX15" fmla="*/ 35631 w 189732"/>
              <a:gd name="connsiteY15" fmla="*/ 19597 h 189287"/>
              <a:gd name="connsiteX16" fmla="*/ 20042 w 189732"/>
              <a:gd name="connsiteY16" fmla="*/ 35185 h 189287"/>
              <a:gd name="connsiteX17" fmla="*/ 26723 w 189732"/>
              <a:gd name="connsiteY17" fmla="*/ 56118 h 189287"/>
              <a:gd name="connsiteX18" fmla="*/ 19597 w 189732"/>
              <a:gd name="connsiteY18" fmla="*/ 73488 h 189287"/>
              <a:gd name="connsiteX19" fmla="*/ 0 w 189732"/>
              <a:gd name="connsiteY19" fmla="*/ 83286 h 189287"/>
              <a:gd name="connsiteX20" fmla="*/ 0 w 189732"/>
              <a:gd name="connsiteY20" fmla="*/ 105555 h 189287"/>
              <a:gd name="connsiteX21" fmla="*/ 19597 w 189732"/>
              <a:gd name="connsiteY21" fmla="*/ 115354 h 189287"/>
              <a:gd name="connsiteX22" fmla="*/ 26723 w 189732"/>
              <a:gd name="connsiteY22" fmla="*/ 132724 h 189287"/>
              <a:gd name="connsiteX23" fmla="*/ 20042 w 189732"/>
              <a:gd name="connsiteY23" fmla="*/ 153657 h 189287"/>
              <a:gd name="connsiteX24" fmla="*/ 35631 w 189732"/>
              <a:gd name="connsiteY24" fmla="*/ 169245 h 189287"/>
              <a:gd name="connsiteX25" fmla="*/ 56563 w 189732"/>
              <a:gd name="connsiteY25" fmla="*/ 162564 h 189287"/>
              <a:gd name="connsiteX26" fmla="*/ 73933 w 189732"/>
              <a:gd name="connsiteY26" fmla="*/ 169690 h 189287"/>
              <a:gd name="connsiteX27" fmla="*/ 83732 w 189732"/>
              <a:gd name="connsiteY27" fmla="*/ 189287 h 189287"/>
              <a:gd name="connsiteX28" fmla="*/ 106001 w 189732"/>
              <a:gd name="connsiteY28" fmla="*/ 189287 h 189287"/>
              <a:gd name="connsiteX29" fmla="*/ 115799 w 189732"/>
              <a:gd name="connsiteY29" fmla="*/ 169690 h 189287"/>
              <a:gd name="connsiteX30" fmla="*/ 133169 w 189732"/>
              <a:gd name="connsiteY30" fmla="*/ 162564 h 189287"/>
              <a:gd name="connsiteX31" fmla="*/ 154102 w 189732"/>
              <a:gd name="connsiteY31" fmla="*/ 169690 h 189287"/>
              <a:gd name="connsiteX32" fmla="*/ 169690 w 189732"/>
              <a:gd name="connsiteY32" fmla="*/ 153657 h 189287"/>
              <a:gd name="connsiteX33" fmla="*/ 163010 w 189732"/>
              <a:gd name="connsiteY33" fmla="*/ 133169 h 189287"/>
              <a:gd name="connsiteX34" fmla="*/ 170136 w 189732"/>
              <a:gd name="connsiteY34" fmla="*/ 115799 h 189287"/>
              <a:gd name="connsiteX35" fmla="*/ 189732 w 189732"/>
              <a:gd name="connsiteY35" fmla="*/ 106001 h 189287"/>
              <a:gd name="connsiteX36" fmla="*/ 189732 w 189732"/>
              <a:gd name="connsiteY36" fmla="*/ 83732 h 189287"/>
              <a:gd name="connsiteX37" fmla="*/ 170136 w 189732"/>
              <a:gd name="connsiteY37" fmla="*/ 73933 h 189287"/>
              <a:gd name="connsiteX38" fmla="*/ 163010 w 189732"/>
              <a:gd name="connsiteY38" fmla="*/ 56563 h 1892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Lst>
            <a:rect l="l" t="t" r="r" b="b"/>
            <a:pathLst>
              <a:path w="189732" h="189287">
                <a:moveTo>
                  <a:pt x="94866" y="128270"/>
                </a:moveTo>
                <a:cubicBezTo>
                  <a:pt x="76160" y="128270"/>
                  <a:pt x="61463" y="113127"/>
                  <a:pt x="61463" y="94866"/>
                </a:cubicBezTo>
                <a:cubicBezTo>
                  <a:pt x="61463" y="76160"/>
                  <a:pt x="76606" y="61463"/>
                  <a:pt x="94866" y="61463"/>
                </a:cubicBezTo>
                <a:cubicBezTo>
                  <a:pt x="113572" y="61463"/>
                  <a:pt x="128270" y="76606"/>
                  <a:pt x="128270" y="94866"/>
                </a:cubicBezTo>
                <a:cubicBezTo>
                  <a:pt x="128270" y="113127"/>
                  <a:pt x="113572" y="128270"/>
                  <a:pt x="94866" y="128270"/>
                </a:cubicBezTo>
                <a:lnTo>
                  <a:pt x="94866" y="128270"/>
                </a:lnTo>
                <a:close/>
                <a:moveTo>
                  <a:pt x="163010" y="56563"/>
                </a:moveTo>
                <a:lnTo>
                  <a:pt x="170136" y="35631"/>
                </a:lnTo>
                <a:lnTo>
                  <a:pt x="154102" y="19597"/>
                </a:lnTo>
                <a:lnTo>
                  <a:pt x="133169" y="26723"/>
                </a:lnTo>
                <a:cubicBezTo>
                  <a:pt x="127824" y="23605"/>
                  <a:pt x="121589" y="21378"/>
                  <a:pt x="115799" y="19597"/>
                </a:cubicBezTo>
                <a:lnTo>
                  <a:pt x="106001" y="0"/>
                </a:lnTo>
                <a:lnTo>
                  <a:pt x="83732" y="0"/>
                </a:lnTo>
                <a:lnTo>
                  <a:pt x="73933" y="19597"/>
                </a:lnTo>
                <a:cubicBezTo>
                  <a:pt x="67698" y="21378"/>
                  <a:pt x="61908" y="23605"/>
                  <a:pt x="56563" y="26723"/>
                </a:cubicBezTo>
                <a:lnTo>
                  <a:pt x="35631" y="19597"/>
                </a:lnTo>
                <a:lnTo>
                  <a:pt x="20042" y="35185"/>
                </a:lnTo>
                <a:lnTo>
                  <a:pt x="26723" y="56118"/>
                </a:lnTo>
                <a:cubicBezTo>
                  <a:pt x="23605" y="61463"/>
                  <a:pt x="21378" y="67698"/>
                  <a:pt x="19597" y="73488"/>
                </a:cubicBezTo>
                <a:lnTo>
                  <a:pt x="0" y="83286"/>
                </a:lnTo>
                <a:lnTo>
                  <a:pt x="0" y="105555"/>
                </a:lnTo>
                <a:lnTo>
                  <a:pt x="19597" y="115354"/>
                </a:lnTo>
                <a:cubicBezTo>
                  <a:pt x="21378" y="121589"/>
                  <a:pt x="23605" y="127379"/>
                  <a:pt x="26723" y="132724"/>
                </a:cubicBezTo>
                <a:lnTo>
                  <a:pt x="20042" y="153657"/>
                </a:lnTo>
                <a:lnTo>
                  <a:pt x="35631" y="169245"/>
                </a:lnTo>
                <a:lnTo>
                  <a:pt x="56563" y="162564"/>
                </a:lnTo>
                <a:cubicBezTo>
                  <a:pt x="61908" y="165682"/>
                  <a:pt x="67698" y="167909"/>
                  <a:pt x="73933" y="169690"/>
                </a:cubicBezTo>
                <a:lnTo>
                  <a:pt x="83732" y="189287"/>
                </a:lnTo>
                <a:lnTo>
                  <a:pt x="106001" y="189287"/>
                </a:lnTo>
                <a:lnTo>
                  <a:pt x="115799" y="169690"/>
                </a:lnTo>
                <a:cubicBezTo>
                  <a:pt x="122034" y="167909"/>
                  <a:pt x="127824" y="165682"/>
                  <a:pt x="133169" y="162564"/>
                </a:cubicBezTo>
                <a:lnTo>
                  <a:pt x="154102" y="169690"/>
                </a:lnTo>
                <a:lnTo>
                  <a:pt x="169690" y="153657"/>
                </a:lnTo>
                <a:lnTo>
                  <a:pt x="163010" y="133169"/>
                </a:lnTo>
                <a:cubicBezTo>
                  <a:pt x="166127" y="127824"/>
                  <a:pt x="168354" y="122034"/>
                  <a:pt x="170136" y="115799"/>
                </a:cubicBezTo>
                <a:lnTo>
                  <a:pt x="189732" y="106001"/>
                </a:lnTo>
                <a:lnTo>
                  <a:pt x="189732" y="83732"/>
                </a:lnTo>
                <a:lnTo>
                  <a:pt x="170136" y="73933"/>
                </a:lnTo>
                <a:cubicBezTo>
                  <a:pt x="168354" y="67698"/>
                  <a:pt x="166127" y="61908"/>
                  <a:pt x="163010" y="56563"/>
                </a:cubicBezTo>
                <a:close/>
              </a:path>
            </a:pathLst>
          </a:custGeom>
          <a:solidFill>
            <a:srgbClr val="000000"/>
          </a:solidFill>
          <a:ln w="4366" cap="flat">
            <a:solidFill>
              <a:srgbClr val="98F8F2"/>
            </a:solidFill>
            <a:prstDash val="solid"/>
            <a:miter/>
          </a:ln>
        </xdr:spPr>
        <xdr:txBody>
          <a:bodyPr rtlCol="0" anchor="ctr"/>
          <a:lstStyle/>
          <a:p>
            <a:endParaRPr lang="en-US"/>
          </a:p>
        </xdr:txBody>
      </xdr:sp>
      <xdr:sp macro="" textlink="">
        <xdr:nvSpPr>
          <xdr:cNvPr id="65" name="Freeform: Shape 64">
            <a:extLst>
              <a:ext uri="{FF2B5EF4-FFF2-40B4-BE49-F238E27FC236}">
                <a16:creationId xmlns:a16="http://schemas.microsoft.com/office/drawing/2014/main" id="{53A9331C-60B5-4120-808C-A984746D240C}"/>
              </a:ext>
            </a:extLst>
          </xdr:cNvPr>
          <xdr:cNvSpPr/>
        </xdr:nvSpPr>
        <xdr:spPr>
          <a:xfrm>
            <a:off x="10978444" y="867833"/>
            <a:ext cx="189732" cy="189287"/>
          </a:xfrm>
          <a:custGeom>
            <a:avLst/>
            <a:gdLst>
              <a:gd name="connsiteX0" fmla="*/ 94866 w 189732"/>
              <a:gd name="connsiteY0" fmla="*/ 128270 h 189287"/>
              <a:gd name="connsiteX1" fmla="*/ 61463 w 189732"/>
              <a:gd name="connsiteY1" fmla="*/ 94866 h 189287"/>
              <a:gd name="connsiteX2" fmla="*/ 94866 w 189732"/>
              <a:gd name="connsiteY2" fmla="*/ 61463 h 189287"/>
              <a:gd name="connsiteX3" fmla="*/ 128270 w 189732"/>
              <a:gd name="connsiteY3" fmla="*/ 94866 h 189287"/>
              <a:gd name="connsiteX4" fmla="*/ 94866 w 189732"/>
              <a:gd name="connsiteY4" fmla="*/ 128270 h 189287"/>
              <a:gd name="connsiteX5" fmla="*/ 170136 w 189732"/>
              <a:gd name="connsiteY5" fmla="*/ 73933 h 189287"/>
              <a:gd name="connsiteX6" fmla="*/ 163010 w 189732"/>
              <a:gd name="connsiteY6" fmla="*/ 56563 h 189287"/>
              <a:gd name="connsiteX7" fmla="*/ 170136 w 189732"/>
              <a:gd name="connsiteY7" fmla="*/ 35631 h 189287"/>
              <a:gd name="connsiteX8" fmla="*/ 154102 w 189732"/>
              <a:gd name="connsiteY8" fmla="*/ 19597 h 189287"/>
              <a:gd name="connsiteX9" fmla="*/ 133169 w 189732"/>
              <a:gd name="connsiteY9" fmla="*/ 26723 h 189287"/>
              <a:gd name="connsiteX10" fmla="*/ 115799 w 189732"/>
              <a:gd name="connsiteY10" fmla="*/ 19597 h 189287"/>
              <a:gd name="connsiteX11" fmla="*/ 106001 w 189732"/>
              <a:gd name="connsiteY11" fmla="*/ 0 h 189287"/>
              <a:gd name="connsiteX12" fmla="*/ 83732 w 189732"/>
              <a:gd name="connsiteY12" fmla="*/ 0 h 189287"/>
              <a:gd name="connsiteX13" fmla="*/ 73933 w 189732"/>
              <a:gd name="connsiteY13" fmla="*/ 19597 h 189287"/>
              <a:gd name="connsiteX14" fmla="*/ 56563 w 189732"/>
              <a:gd name="connsiteY14" fmla="*/ 26723 h 189287"/>
              <a:gd name="connsiteX15" fmla="*/ 35631 w 189732"/>
              <a:gd name="connsiteY15" fmla="*/ 19597 h 189287"/>
              <a:gd name="connsiteX16" fmla="*/ 19597 w 189732"/>
              <a:gd name="connsiteY16" fmla="*/ 35631 h 189287"/>
              <a:gd name="connsiteX17" fmla="*/ 26723 w 189732"/>
              <a:gd name="connsiteY17" fmla="*/ 56563 h 189287"/>
              <a:gd name="connsiteX18" fmla="*/ 19597 w 189732"/>
              <a:gd name="connsiteY18" fmla="*/ 73933 h 189287"/>
              <a:gd name="connsiteX19" fmla="*/ 0 w 189732"/>
              <a:gd name="connsiteY19" fmla="*/ 83732 h 189287"/>
              <a:gd name="connsiteX20" fmla="*/ 0 w 189732"/>
              <a:gd name="connsiteY20" fmla="*/ 106001 h 189287"/>
              <a:gd name="connsiteX21" fmla="*/ 19597 w 189732"/>
              <a:gd name="connsiteY21" fmla="*/ 115799 h 189287"/>
              <a:gd name="connsiteX22" fmla="*/ 26723 w 189732"/>
              <a:gd name="connsiteY22" fmla="*/ 133169 h 189287"/>
              <a:gd name="connsiteX23" fmla="*/ 19597 w 189732"/>
              <a:gd name="connsiteY23" fmla="*/ 154102 h 189287"/>
              <a:gd name="connsiteX24" fmla="*/ 35185 w 189732"/>
              <a:gd name="connsiteY24" fmla="*/ 169690 h 189287"/>
              <a:gd name="connsiteX25" fmla="*/ 56118 w 189732"/>
              <a:gd name="connsiteY25" fmla="*/ 162564 h 189287"/>
              <a:gd name="connsiteX26" fmla="*/ 73488 w 189732"/>
              <a:gd name="connsiteY26" fmla="*/ 169690 h 189287"/>
              <a:gd name="connsiteX27" fmla="*/ 83286 w 189732"/>
              <a:gd name="connsiteY27" fmla="*/ 189287 h 189287"/>
              <a:gd name="connsiteX28" fmla="*/ 105555 w 189732"/>
              <a:gd name="connsiteY28" fmla="*/ 189287 h 189287"/>
              <a:gd name="connsiteX29" fmla="*/ 115354 w 189732"/>
              <a:gd name="connsiteY29" fmla="*/ 169690 h 189287"/>
              <a:gd name="connsiteX30" fmla="*/ 132724 w 189732"/>
              <a:gd name="connsiteY30" fmla="*/ 162564 h 189287"/>
              <a:gd name="connsiteX31" fmla="*/ 153657 w 189732"/>
              <a:gd name="connsiteY31" fmla="*/ 169690 h 189287"/>
              <a:gd name="connsiteX32" fmla="*/ 169690 w 189732"/>
              <a:gd name="connsiteY32" fmla="*/ 154102 h 189287"/>
              <a:gd name="connsiteX33" fmla="*/ 162564 w 189732"/>
              <a:gd name="connsiteY33" fmla="*/ 133169 h 189287"/>
              <a:gd name="connsiteX34" fmla="*/ 170136 w 189732"/>
              <a:gd name="connsiteY34" fmla="*/ 115799 h 189287"/>
              <a:gd name="connsiteX35" fmla="*/ 189732 w 189732"/>
              <a:gd name="connsiteY35" fmla="*/ 106001 h 189287"/>
              <a:gd name="connsiteX36" fmla="*/ 189732 w 189732"/>
              <a:gd name="connsiteY36" fmla="*/ 83732 h 189287"/>
              <a:gd name="connsiteX37" fmla="*/ 170136 w 189732"/>
              <a:gd name="connsiteY37" fmla="*/ 73933 h 1892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Lst>
            <a:rect l="l" t="t" r="r" b="b"/>
            <a:pathLst>
              <a:path w="189732" h="189287">
                <a:moveTo>
                  <a:pt x="94866" y="128270"/>
                </a:moveTo>
                <a:cubicBezTo>
                  <a:pt x="76160" y="128270"/>
                  <a:pt x="61463" y="113127"/>
                  <a:pt x="61463" y="94866"/>
                </a:cubicBezTo>
                <a:cubicBezTo>
                  <a:pt x="61463" y="76606"/>
                  <a:pt x="76606" y="61463"/>
                  <a:pt x="94866" y="61463"/>
                </a:cubicBezTo>
                <a:cubicBezTo>
                  <a:pt x="113572" y="61463"/>
                  <a:pt x="128270" y="76606"/>
                  <a:pt x="128270" y="94866"/>
                </a:cubicBezTo>
                <a:cubicBezTo>
                  <a:pt x="128270" y="113127"/>
                  <a:pt x="113127" y="128270"/>
                  <a:pt x="94866" y="128270"/>
                </a:cubicBezTo>
                <a:close/>
                <a:moveTo>
                  <a:pt x="170136" y="73933"/>
                </a:moveTo>
                <a:cubicBezTo>
                  <a:pt x="168354" y="67698"/>
                  <a:pt x="166127" y="61908"/>
                  <a:pt x="163010" y="56563"/>
                </a:cubicBezTo>
                <a:lnTo>
                  <a:pt x="170136" y="35631"/>
                </a:lnTo>
                <a:lnTo>
                  <a:pt x="154102" y="19597"/>
                </a:lnTo>
                <a:lnTo>
                  <a:pt x="133169" y="26723"/>
                </a:lnTo>
                <a:cubicBezTo>
                  <a:pt x="127824" y="23605"/>
                  <a:pt x="122034" y="21378"/>
                  <a:pt x="115799" y="19597"/>
                </a:cubicBezTo>
                <a:lnTo>
                  <a:pt x="106001" y="0"/>
                </a:lnTo>
                <a:lnTo>
                  <a:pt x="83732" y="0"/>
                </a:lnTo>
                <a:lnTo>
                  <a:pt x="73933" y="19597"/>
                </a:lnTo>
                <a:cubicBezTo>
                  <a:pt x="67698" y="21378"/>
                  <a:pt x="61908" y="23605"/>
                  <a:pt x="56563" y="26723"/>
                </a:cubicBezTo>
                <a:lnTo>
                  <a:pt x="35631" y="19597"/>
                </a:lnTo>
                <a:lnTo>
                  <a:pt x="19597" y="35631"/>
                </a:lnTo>
                <a:lnTo>
                  <a:pt x="26723" y="56563"/>
                </a:lnTo>
                <a:cubicBezTo>
                  <a:pt x="23605" y="61908"/>
                  <a:pt x="21378" y="67698"/>
                  <a:pt x="19597" y="73933"/>
                </a:cubicBezTo>
                <a:lnTo>
                  <a:pt x="0" y="83732"/>
                </a:lnTo>
                <a:lnTo>
                  <a:pt x="0" y="106001"/>
                </a:lnTo>
                <a:lnTo>
                  <a:pt x="19597" y="115799"/>
                </a:lnTo>
                <a:cubicBezTo>
                  <a:pt x="21378" y="122034"/>
                  <a:pt x="23605" y="127824"/>
                  <a:pt x="26723" y="133169"/>
                </a:cubicBezTo>
                <a:lnTo>
                  <a:pt x="19597" y="154102"/>
                </a:lnTo>
                <a:lnTo>
                  <a:pt x="35185" y="169690"/>
                </a:lnTo>
                <a:lnTo>
                  <a:pt x="56118" y="162564"/>
                </a:lnTo>
                <a:cubicBezTo>
                  <a:pt x="61463" y="165682"/>
                  <a:pt x="67253" y="167909"/>
                  <a:pt x="73488" y="169690"/>
                </a:cubicBezTo>
                <a:lnTo>
                  <a:pt x="83286" y="189287"/>
                </a:lnTo>
                <a:lnTo>
                  <a:pt x="105555" y="189287"/>
                </a:lnTo>
                <a:lnTo>
                  <a:pt x="115354" y="169690"/>
                </a:lnTo>
                <a:cubicBezTo>
                  <a:pt x="121589" y="167909"/>
                  <a:pt x="127379" y="165682"/>
                  <a:pt x="132724" y="162564"/>
                </a:cubicBezTo>
                <a:lnTo>
                  <a:pt x="153657" y="169690"/>
                </a:lnTo>
                <a:lnTo>
                  <a:pt x="169690" y="154102"/>
                </a:lnTo>
                <a:lnTo>
                  <a:pt x="162564" y="133169"/>
                </a:lnTo>
                <a:cubicBezTo>
                  <a:pt x="165682" y="127824"/>
                  <a:pt x="168354" y="121589"/>
                  <a:pt x="170136" y="115799"/>
                </a:cubicBezTo>
                <a:lnTo>
                  <a:pt x="189732" y="106001"/>
                </a:lnTo>
                <a:lnTo>
                  <a:pt x="189732" y="83732"/>
                </a:lnTo>
                <a:lnTo>
                  <a:pt x="170136" y="73933"/>
                </a:lnTo>
                <a:close/>
              </a:path>
            </a:pathLst>
          </a:custGeom>
          <a:solidFill>
            <a:srgbClr val="000000"/>
          </a:solidFill>
          <a:ln w="4366" cap="flat">
            <a:solidFill>
              <a:srgbClr val="98F8F2"/>
            </a:solidFill>
            <a:prstDash val="solid"/>
            <a:miter/>
          </a:ln>
        </xdr:spPr>
        <xdr:txBody>
          <a:bodyPr rtlCol="0" anchor="ctr"/>
          <a:lstStyle/>
          <a:p>
            <a:endParaRPr lang="en-US"/>
          </a:p>
        </xdr:txBody>
      </xdr:sp>
    </xdr:grpSp>
    <xdr:clientData/>
  </xdr:twoCellAnchor>
  <xdr:twoCellAnchor>
    <xdr:from>
      <xdr:col>0</xdr:col>
      <xdr:colOff>613831</xdr:colOff>
      <xdr:row>29</xdr:row>
      <xdr:rowOff>190488</xdr:rowOff>
    </xdr:from>
    <xdr:to>
      <xdr:col>4</xdr:col>
      <xdr:colOff>185479</xdr:colOff>
      <xdr:row>31</xdr:row>
      <xdr:rowOff>169321</xdr:rowOff>
    </xdr:to>
    <xdr:sp macro="" textlink="">
      <xdr:nvSpPr>
        <xdr:cNvPr id="67" name="TextBox 66">
          <a:extLst>
            <a:ext uri="{FF2B5EF4-FFF2-40B4-BE49-F238E27FC236}">
              <a16:creationId xmlns:a16="http://schemas.microsoft.com/office/drawing/2014/main" id="{5C7A10F9-129F-4068-8795-24B787EC13B8}"/>
            </a:ext>
          </a:extLst>
        </xdr:cNvPr>
        <xdr:cNvSpPr txBox="1"/>
      </xdr:nvSpPr>
      <xdr:spPr>
        <a:xfrm>
          <a:off x="613831" y="5947821"/>
          <a:ext cx="2196315" cy="373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chemeClr val="bg1"/>
              </a:solidFill>
              <a:latin typeface="Avenir Next LT Pro Light" panose="020B0304020202020204" pitchFamily="34" charset="0"/>
            </a:rPr>
            <a:t>Cost Components</a:t>
          </a:r>
        </a:p>
      </xdr:txBody>
    </xdr:sp>
    <xdr:clientData/>
  </xdr:twoCellAnchor>
  <xdr:twoCellAnchor>
    <xdr:from>
      <xdr:col>0</xdr:col>
      <xdr:colOff>614962</xdr:colOff>
      <xdr:row>31</xdr:row>
      <xdr:rowOff>119926</xdr:rowOff>
    </xdr:from>
    <xdr:to>
      <xdr:col>5</xdr:col>
      <xdr:colOff>345286</xdr:colOff>
      <xdr:row>41</xdr:row>
      <xdr:rowOff>33368</xdr:rowOff>
    </xdr:to>
    <xdr:grpSp>
      <xdr:nvGrpSpPr>
        <xdr:cNvPr id="68" name="Group 67">
          <a:extLst>
            <a:ext uri="{FF2B5EF4-FFF2-40B4-BE49-F238E27FC236}">
              <a16:creationId xmlns:a16="http://schemas.microsoft.com/office/drawing/2014/main" id="{63641CCB-00D8-4DF8-BC51-623D19E3FD20}"/>
            </a:ext>
          </a:extLst>
        </xdr:cNvPr>
        <xdr:cNvGrpSpPr/>
      </xdr:nvGrpSpPr>
      <xdr:grpSpPr>
        <a:xfrm>
          <a:off x="618137" y="6352451"/>
          <a:ext cx="3013274" cy="1907342"/>
          <a:chOff x="330197" y="5792611"/>
          <a:chExt cx="3335679" cy="2453923"/>
        </a:xfrm>
      </xdr:grpSpPr>
      <xdr:grpSp>
        <xdr:nvGrpSpPr>
          <xdr:cNvPr id="69" name="Group 68">
            <a:extLst>
              <a:ext uri="{FF2B5EF4-FFF2-40B4-BE49-F238E27FC236}">
                <a16:creationId xmlns:a16="http://schemas.microsoft.com/office/drawing/2014/main" id="{67CD99C2-F124-931B-9B30-F660B2375158}"/>
              </a:ext>
            </a:extLst>
          </xdr:cNvPr>
          <xdr:cNvGrpSpPr/>
        </xdr:nvGrpSpPr>
        <xdr:grpSpPr>
          <a:xfrm>
            <a:off x="509411" y="5842000"/>
            <a:ext cx="1444978" cy="2389010"/>
            <a:chOff x="509411" y="5842000"/>
            <a:chExt cx="2034822" cy="2389010"/>
          </a:xfrm>
        </xdr:grpSpPr>
        <xdr:grpSp>
          <xdr:nvGrpSpPr>
            <xdr:cNvPr id="93" name="Group 92">
              <a:extLst>
                <a:ext uri="{FF2B5EF4-FFF2-40B4-BE49-F238E27FC236}">
                  <a16:creationId xmlns:a16="http://schemas.microsoft.com/office/drawing/2014/main" id="{B77C19B5-5EFC-8326-BCD5-B07231D20225}"/>
                </a:ext>
              </a:extLst>
            </xdr:cNvPr>
            <xdr:cNvGrpSpPr/>
          </xdr:nvGrpSpPr>
          <xdr:grpSpPr>
            <a:xfrm>
              <a:off x="509411" y="5842000"/>
              <a:ext cx="2034822" cy="1948745"/>
              <a:chOff x="255411" y="5898444"/>
              <a:chExt cx="2034822" cy="1948745"/>
            </a:xfrm>
          </xdr:grpSpPr>
          <xdr:sp macro="" textlink="'Pivot Tables'!H4">
            <xdr:nvSpPr>
              <xdr:cNvPr id="95" name="TextBox 94">
                <a:extLst>
                  <a:ext uri="{FF2B5EF4-FFF2-40B4-BE49-F238E27FC236}">
                    <a16:creationId xmlns:a16="http://schemas.microsoft.com/office/drawing/2014/main" id="{6F33731B-3540-4A32-7291-CB03B0D6713C}"/>
                  </a:ext>
                </a:extLst>
              </xdr:cNvPr>
              <xdr:cNvSpPr txBox="1"/>
            </xdr:nvSpPr>
            <xdr:spPr>
              <a:xfrm>
                <a:off x="255411" y="5898444"/>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162D326-84DC-4FB1-9FE6-249485EDAA07}" type="TxLink">
                  <a:rPr lang="en-US" sz="1100" b="0" i="0" u="none" strike="noStrike">
                    <a:solidFill>
                      <a:schemeClr val="bg1"/>
                    </a:solidFill>
                    <a:latin typeface="Avenir Next LT Pro Light" panose="020B0304020202020204" pitchFamily="34" charset="0"/>
                    <a:ea typeface="Calibri"/>
                    <a:cs typeface="Calibri"/>
                  </a:rPr>
                  <a:pPr/>
                  <a:t>Feed</a:t>
                </a:fld>
                <a:endParaRPr lang="en-US" sz="1600">
                  <a:solidFill>
                    <a:schemeClr val="bg1"/>
                  </a:solidFill>
                  <a:latin typeface="Avenir Next LT Pro Light" panose="020B0304020202020204" pitchFamily="34" charset="0"/>
                </a:endParaRPr>
              </a:p>
            </xdr:txBody>
          </xdr:sp>
          <xdr:sp macro="" textlink="'Pivot Tables'!H5">
            <xdr:nvSpPr>
              <xdr:cNvPr id="96" name="TextBox 95">
                <a:extLst>
                  <a:ext uri="{FF2B5EF4-FFF2-40B4-BE49-F238E27FC236}">
                    <a16:creationId xmlns:a16="http://schemas.microsoft.com/office/drawing/2014/main" id="{E0420714-9144-7A51-C912-CBBFE6ED2F47}"/>
                  </a:ext>
                </a:extLst>
              </xdr:cNvPr>
              <xdr:cNvSpPr txBox="1"/>
            </xdr:nvSpPr>
            <xdr:spPr>
              <a:xfrm>
                <a:off x="255411" y="6290380"/>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151B6C5-0570-49AE-86EC-DAE670F8E459}" type="TxLink">
                  <a:rPr lang="en-US" sz="1200" b="0" i="0" u="none" strike="noStrike">
                    <a:solidFill>
                      <a:schemeClr val="bg1"/>
                    </a:solidFill>
                    <a:latin typeface="Calibri"/>
                    <a:ea typeface="Calibri"/>
                    <a:cs typeface="Calibri"/>
                  </a:rPr>
                  <a:pPr/>
                  <a:t>Feeder Cattle</a:t>
                </a:fld>
                <a:endParaRPr lang="en-US" sz="1600">
                  <a:solidFill>
                    <a:schemeClr val="bg1"/>
                  </a:solidFill>
                  <a:latin typeface="Avenir Next LT Pro Light" panose="020B0304020202020204" pitchFamily="34" charset="0"/>
                </a:endParaRPr>
              </a:p>
            </xdr:txBody>
          </xdr:sp>
          <xdr:sp macro="" textlink="'Pivot Tables'!H6">
            <xdr:nvSpPr>
              <xdr:cNvPr id="97" name="TextBox 96">
                <a:extLst>
                  <a:ext uri="{FF2B5EF4-FFF2-40B4-BE49-F238E27FC236}">
                    <a16:creationId xmlns:a16="http://schemas.microsoft.com/office/drawing/2014/main" id="{0C609E50-34D9-6105-7A81-0C680DDFDD14}"/>
                  </a:ext>
                </a:extLst>
              </xdr:cNvPr>
              <xdr:cNvSpPr txBox="1"/>
            </xdr:nvSpPr>
            <xdr:spPr>
              <a:xfrm>
                <a:off x="255411" y="6682316"/>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45078B7-F1C7-4AFE-B93D-15CFD978C746}" type="TxLink">
                  <a:rPr lang="en-US" sz="1200" b="0" i="0" u="none" strike="noStrike">
                    <a:solidFill>
                      <a:schemeClr val="bg1"/>
                    </a:solidFill>
                    <a:latin typeface="Calibri"/>
                    <a:ea typeface="Calibri"/>
                    <a:cs typeface="Calibri"/>
                  </a:rPr>
                  <a:pPr/>
                  <a:t>Fixed</a:t>
                </a:fld>
                <a:endParaRPr lang="en-US" sz="1600">
                  <a:solidFill>
                    <a:schemeClr val="bg1"/>
                  </a:solidFill>
                  <a:latin typeface="Avenir Next LT Pro Light" panose="020B0304020202020204" pitchFamily="34" charset="0"/>
                </a:endParaRPr>
              </a:p>
            </xdr:txBody>
          </xdr:sp>
          <xdr:sp macro="" textlink="'Pivot Tables'!H7">
            <xdr:nvSpPr>
              <xdr:cNvPr id="98" name="TextBox 97">
                <a:extLst>
                  <a:ext uri="{FF2B5EF4-FFF2-40B4-BE49-F238E27FC236}">
                    <a16:creationId xmlns:a16="http://schemas.microsoft.com/office/drawing/2014/main" id="{BF13E241-95C8-8A5A-A5DF-AA119C0186C0}"/>
                  </a:ext>
                </a:extLst>
              </xdr:cNvPr>
              <xdr:cNvSpPr txBox="1"/>
            </xdr:nvSpPr>
            <xdr:spPr>
              <a:xfrm>
                <a:off x="255411" y="7074252"/>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5444C92-7E31-43C4-BADA-26F927EC0206}" type="TxLink">
                  <a:rPr lang="en-US" sz="1200" b="0" i="0" u="none" strike="noStrike">
                    <a:solidFill>
                      <a:schemeClr val="bg1"/>
                    </a:solidFill>
                    <a:latin typeface="Calibri"/>
                    <a:ea typeface="Calibri"/>
                    <a:cs typeface="Calibri"/>
                  </a:rPr>
                  <a:pPr/>
                  <a:t>Interest</a:t>
                </a:fld>
                <a:endParaRPr lang="en-US" sz="1600">
                  <a:solidFill>
                    <a:schemeClr val="bg1"/>
                  </a:solidFill>
                  <a:latin typeface="Avenir Next LT Pro Light" panose="020B0304020202020204" pitchFamily="34" charset="0"/>
                </a:endParaRPr>
              </a:p>
            </xdr:txBody>
          </xdr:sp>
          <xdr:sp macro="" textlink="'Pivot Tables'!H8">
            <xdr:nvSpPr>
              <xdr:cNvPr id="99" name="TextBox 98">
                <a:extLst>
                  <a:ext uri="{FF2B5EF4-FFF2-40B4-BE49-F238E27FC236}">
                    <a16:creationId xmlns:a16="http://schemas.microsoft.com/office/drawing/2014/main" id="{3A364B87-6C36-FF41-9B3D-6DBB5D2B4984}"/>
                  </a:ext>
                </a:extLst>
              </xdr:cNvPr>
              <xdr:cNvSpPr txBox="1"/>
            </xdr:nvSpPr>
            <xdr:spPr>
              <a:xfrm>
                <a:off x="255411" y="7466189"/>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268BBC7-2B77-4D8B-A857-7064D3DE4F6E}" type="TxLink">
                  <a:rPr lang="en-US" sz="1200" b="0" i="0" u="none" strike="noStrike">
                    <a:solidFill>
                      <a:schemeClr val="bg1"/>
                    </a:solidFill>
                    <a:latin typeface="Calibri"/>
                    <a:ea typeface="Calibri"/>
                    <a:cs typeface="Calibri"/>
                  </a:rPr>
                  <a:pPr/>
                  <a:t>Labour</a:t>
                </a:fld>
                <a:endParaRPr lang="en-US" sz="1600">
                  <a:solidFill>
                    <a:schemeClr val="bg1"/>
                  </a:solidFill>
                  <a:latin typeface="Avenir Next LT Pro Light" panose="020B0304020202020204" pitchFamily="34" charset="0"/>
                </a:endParaRPr>
              </a:p>
            </xdr:txBody>
          </xdr:sp>
        </xdr:grpSp>
        <xdr:sp macro="" textlink="'Pivot Tables'!H9">
          <xdr:nvSpPr>
            <xdr:cNvPr id="94" name="TextBox 93">
              <a:extLst>
                <a:ext uri="{FF2B5EF4-FFF2-40B4-BE49-F238E27FC236}">
                  <a16:creationId xmlns:a16="http://schemas.microsoft.com/office/drawing/2014/main" id="{AD870491-D280-D5C9-8796-B9B86B3620CF}"/>
                </a:ext>
              </a:extLst>
            </xdr:cNvPr>
            <xdr:cNvSpPr txBox="1"/>
          </xdr:nvSpPr>
          <xdr:spPr>
            <a:xfrm>
              <a:off x="509411" y="7850010"/>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897C9E9-F09F-4AD6-9CBB-3CE1326EAD05}" type="TxLink">
                <a:rPr lang="en-US" sz="1200" b="0" i="0" u="none" strike="noStrike">
                  <a:solidFill>
                    <a:schemeClr val="bg1"/>
                  </a:solidFill>
                  <a:latin typeface="Calibri"/>
                  <a:ea typeface="Calibri"/>
                  <a:cs typeface="Calibri"/>
                </a:rPr>
                <a:pPr/>
                <a:t>Other Operations</a:t>
              </a:fld>
              <a:endParaRPr lang="en-US" sz="1600">
                <a:solidFill>
                  <a:schemeClr val="bg1"/>
                </a:solidFill>
                <a:latin typeface="Avenir Next LT Pro Light" panose="020B0304020202020204" pitchFamily="34" charset="0"/>
              </a:endParaRPr>
            </a:p>
          </xdr:txBody>
        </xdr:sp>
      </xdr:grpSp>
      <xdr:grpSp>
        <xdr:nvGrpSpPr>
          <xdr:cNvPr id="70" name="Group 69">
            <a:extLst>
              <a:ext uri="{FF2B5EF4-FFF2-40B4-BE49-F238E27FC236}">
                <a16:creationId xmlns:a16="http://schemas.microsoft.com/office/drawing/2014/main" id="{9D6055A0-DB2B-18A6-1C13-1820591C6CF1}"/>
              </a:ext>
            </a:extLst>
          </xdr:cNvPr>
          <xdr:cNvGrpSpPr/>
        </xdr:nvGrpSpPr>
        <xdr:grpSpPr>
          <a:xfrm>
            <a:off x="1684864" y="5846235"/>
            <a:ext cx="558803" cy="2389010"/>
            <a:chOff x="509411" y="5842000"/>
            <a:chExt cx="2034822" cy="2389010"/>
          </a:xfrm>
        </xdr:grpSpPr>
        <xdr:grpSp>
          <xdr:nvGrpSpPr>
            <xdr:cNvPr id="86" name="Group 85">
              <a:extLst>
                <a:ext uri="{FF2B5EF4-FFF2-40B4-BE49-F238E27FC236}">
                  <a16:creationId xmlns:a16="http://schemas.microsoft.com/office/drawing/2014/main" id="{00518CCF-6668-6CA2-39E2-1EDD6585E7DA}"/>
                </a:ext>
              </a:extLst>
            </xdr:cNvPr>
            <xdr:cNvGrpSpPr/>
          </xdr:nvGrpSpPr>
          <xdr:grpSpPr>
            <a:xfrm>
              <a:off x="509411" y="5842000"/>
              <a:ext cx="2034822" cy="1948745"/>
              <a:chOff x="255411" y="5898444"/>
              <a:chExt cx="2034822" cy="1948745"/>
            </a:xfrm>
          </xdr:grpSpPr>
          <xdr:sp macro="" textlink="'Pivot Tables'!O4">
            <xdr:nvSpPr>
              <xdr:cNvPr id="88" name="TextBox 87">
                <a:extLst>
                  <a:ext uri="{FF2B5EF4-FFF2-40B4-BE49-F238E27FC236}">
                    <a16:creationId xmlns:a16="http://schemas.microsoft.com/office/drawing/2014/main" id="{BF7E6AA4-6B71-4A85-4361-DF47094F4B56}"/>
                  </a:ext>
                </a:extLst>
              </xdr:cNvPr>
              <xdr:cNvSpPr txBox="1"/>
            </xdr:nvSpPr>
            <xdr:spPr>
              <a:xfrm>
                <a:off x="255411" y="5898444"/>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616E644-5938-4AD8-AFCB-ED66D8B5A0E2}" type="TxLink">
                  <a:rPr lang="en-US" sz="1200" b="0" i="0" u="none" strike="noStrike">
                    <a:solidFill>
                      <a:schemeClr val="bg1"/>
                    </a:solidFill>
                    <a:latin typeface="Calibri"/>
                    <a:ea typeface="Calibri"/>
                    <a:cs typeface="Calibri"/>
                  </a:rPr>
                  <a:pPr algn="ctr"/>
                  <a:t>2%</a:t>
                </a:fld>
                <a:endParaRPr lang="en-US" sz="1600">
                  <a:solidFill>
                    <a:schemeClr val="bg1"/>
                  </a:solidFill>
                  <a:latin typeface="Avenir Next LT Pro Light" panose="020B0304020202020204" pitchFamily="34" charset="0"/>
                </a:endParaRPr>
              </a:p>
            </xdr:txBody>
          </xdr:sp>
          <xdr:sp macro="" textlink="'Pivot Tables'!O5">
            <xdr:nvSpPr>
              <xdr:cNvPr id="89" name="TextBox 88">
                <a:extLst>
                  <a:ext uri="{FF2B5EF4-FFF2-40B4-BE49-F238E27FC236}">
                    <a16:creationId xmlns:a16="http://schemas.microsoft.com/office/drawing/2014/main" id="{4F937B27-B793-08B9-9B74-884090273C13}"/>
                  </a:ext>
                </a:extLst>
              </xdr:cNvPr>
              <xdr:cNvSpPr txBox="1"/>
            </xdr:nvSpPr>
            <xdr:spPr>
              <a:xfrm>
                <a:off x="255411" y="6290380"/>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F807E53-8FDB-4902-8FE8-8D1110DD6647}" type="TxLink">
                  <a:rPr lang="en-US" sz="1200" b="0" i="0" u="none" strike="noStrike">
                    <a:solidFill>
                      <a:schemeClr val="bg1"/>
                    </a:solidFill>
                    <a:latin typeface="Calibri"/>
                    <a:ea typeface="Calibri"/>
                    <a:cs typeface="Calibri"/>
                  </a:rPr>
                  <a:pPr algn="ctr"/>
                  <a:t>86%</a:t>
                </a:fld>
                <a:endParaRPr lang="en-US" sz="1600">
                  <a:solidFill>
                    <a:schemeClr val="bg1"/>
                  </a:solidFill>
                  <a:latin typeface="Avenir Next LT Pro Light" panose="020B0304020202020204" pitchFamily="34" charset="0"/>
                </a:endParaRPr>
              </a:p>
            </xdr:txBody>
          </xdr:sp>
          <xdr:sp macro="" textlink="'Pivot Tables'!O6">
            <xdr:nvSpPr>
              <xdr:cNvPr id="90" name="TextBox 89">
                <a:extLst>
                  <a:ext uri="{FF2B5EF4-FFF2-40B4-BE49-F238E27FC236}">
                    <a16:creationId xmlns:a16="http://schemas.microsoft.com/office/drawing/2014/main" id="{299E5B8C-42CA-2068-0C62-E5B83CEDE064}"/>
                  </a:ext>
                </a:extLst>
              </xdr:cNvPr>
              <xdr:cNvSpPr txBox="1"/>
            </xdr:nvSpPr>
            <xdr:spPr>
              <a:xfrm>
                <a:off x="255411" y="6682316"/>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D13D558-72A0-40E6-9A12-70DDD4638CDE}" type="TxLink">
                  <a:rPr lang="en-US" sz="1200" b="0" i="0" u="none" strike="noStrike">
                    <a:solidFill>
                      <a:schemeClr val="bg1"/>
                    </a:solidFill>
                    <a:latin typeface="Calibri"/>
                    <a:ea typeface="Calibri"/>
                    <a:cs typeface="Calibri"/>
                  </a:rPr>
                  <a:pPr algn="ctr"/>
                  <a:t>0%</a:t>
                </a:fld>
                <a:endParaRPr lang="en-US" sz="1600">
                  <a:solidFill>
                    <a:schemeClr val="bg1"/>
                  </a:solidFill>
                  <a:latin typeface="Avenir Next LT Pro Light" panose="020B0304020202020204" pitchFamily="34" charset="0"/>
                </a:endParaRPr>
              </a:p>
            </xdr:txBody>
          </xdr:sp>
          <xdr:sp macro="" textlink="'Pivot Tables'!O7">
            <xdr:nvSpPr>
              <xdr:cNvPr id="91" name="TextBox 90">
                <a:extLst>
                  <a:ext uri="{FF2B5EF4-FFF2-40B4-BE49-F238E27FC236}">
                    <a16:creationId xmlns:a16="http://schemas.microsoft.com/office/drawing/2014/main" id="{7248C1A2-2811-913C-E3AB-910BE459068F}"/>
                  </a:ext>
                </a:extLst>
              </xdr:cNvPr>
              <xdr:cNvSpPr txBox="1"/>
            </xdr:nvSpPr>
            <xdr:spPr>
              <a:xfrm>
                <a:off x="255411" y="7074252"/>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9A6B8C1-35F6-46C5-B87C-A48455F61A23}" type="TxLink">
                  <a:rPr lang="en-US" sz="1200" b="0" i="0" u="none" strike="noStrike">
                    <a:solidFill>
                      <a:schemeClr val="bg1"/>
                    </a:solidFill>
                    <a:latin typeface="Calibri"/>
                    <a:ea typeface="Calibri"/>
                    <a:cs typeface="Calibri"/>
                  </a:rPr>
                  <a:pPr algn="ctr"/>
                  <a:t>4%</a:t>
                </a:fld>
                <a:endParaRPr lang="en-US" sz="1600">
                  <a:solidFill>
                    <a:schemeClr val="bg1"/>
                  </a:solidFill>
                  <a:latin typeface="Avenir Next LT Pro Light" panose="020B0304020202020204" pitchFamily="34" charset="0"/>
                </a:endParaRPr>
              </a:p>
            </xdr:txBody>
          </xdr:sp>
          <xdr:sp macro="" textlink="'Pivot Tables'!O8">
            <xdr:nvSpPr>
              <xdr:cNvPr id="92" name="TextBox 91">
                <a:extLst>
                  <a:ext uri="{FF2B5EF4-FFF2-40B4-BE49-F238E27FC236}">
                    <a16:creationId xmlns:a16="http://schemas.microsoft.com/office/drawing/2014/main" id="{55EA9706-29E6-9DED-523F-640C4A528B73}"/>
                  </a:ext>
                </a:extLst>
              </xdr:cNvPr>
              <xdr:cNvSpPr txBox="1"/>
            </xdr:nvSpPr>
            <xdr:spPr>
              <a:xfrm>
                <a:off x="255411" y="7466189"/>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B039CE6-C030-4231-B92F-6AFEBEE05877}" type="TxLink">
                  <a:rPr lang="en-US" sz="1200" b="0" i="0" u="none" strike="noStrike">
                    <a:solidFill>
                      <a:schemeClr val="bg1"/>
                    </a:solidFill>
                    <a:latin typeface="Calibri"/>
                    <a:ea typeface="Calibri"/>
                    <a:cs typeface="Calibri"/>
                  </a:rPr>
                  <a:pPr algn="ctr"/>
                  <a:t>2%</a:t>
                </a:fld>
                <a:endParaRPr lang="en-US" sz="1600">
                  <a:solidFill>
                    <a:schemeClr val="bg1"/>
                  </a:solidFill>
                  <a:latin typeface="Avenir Next LT Pro Light" panose="020B0304020202020204" pitchFamily="34" charset="0"/>
                </a:endParaRPr>
              </a:p>
            </xdr:txBody>
          </xdr:sp>
        </xdr:grpSp>
        <xdr:sp macro="" textlink="'Pivot Tables'!O9">
          <xdr:nvSpPr>
            <xdr:cNvPr id="87" name="TextBox 86">
              <a:extLst>
                <a:ext uri="{FF2B5EF4-FFF2-40B4-BE49-F238E27FC236}">
                  <a16:creationId xmlns:a16="http://schemas.microsoft.com/office/drawing/2014/main" id="{9CC3CDB7-8BC8-2E84-6919-E4975DEC88E2}"/>
                </a:ext>
              </a:extLst>
            </xdr:cNvPr>
            <xdr:cNvSpPr txBox="1"/>
          </xdr:nvSpPr>
          <xdr:spPr>
            <a:xfrm>
              <a:off x="509411" y="7850010"/>
              <a:ext cx="20348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BB78CCC-889F-44B6-8F20-2DF208FC6CAF}" type="TxLink">
                <a:rPr lang="en-US" sz="1200" b="0" i="0" u="none" strike="noStrike">
                  <a:solidFill>
                    <a:schemeClr val="bg1"/>
                  </a:solidFill>
                  <a:latin typeface="Calibri"/>
                  <a:ea typeface="Calibri"/>
                  <a:cs typeface="Calibri"/>
                </a:rPr>
                <a:pPr algn="ctr"/>
                <a:t>5%</a:t>
              </a:fld>
              <a:endParaRPr lang="en-US" sz="1600">
                <a:solidFill>
                  <a:schemeClr val="bg1"/>
                </a:solidFill>
                <a:latin typeface="Avenir Next LT Pro Light" panose="020B0304020202020204" pitchFamily="34" charset="0"/>
              </a:endParaRPr>
            </a:p>
          </xdr:txBody>
        </xdr:sp>
      </xdr:grpSp>
      <xdr:grpSp>
        <xdr:nvGrpSpPr>
          <xdr:cNvPr id="71" name="Group 70">
            <a:extLst>
              <a:ext uri="{FF2B5EF4-FFF2-40B4-BE49-F238E27FC236}">
                <a16:creationId xmlns:a16="http://schemas.microsoft.com/office/drawing/2014/main" id="{98690D1F-1B7B-8ED5-EC68-FF345B9BAE52}"/>
              </a:ext>
            </a:extLst>
          </xdr:cNvPr>
          <xdr:cNvGrpSpPr/>
        </xdr:nvGrpSpPr>
        <xdr:grpSpPr>
          <a:xfrm>
            <a:off x="2149579" y="5857524"/>
            <a:ext cx="1516297" cy="2389010"/>
            <a:chOff x="222097" y="5842000"/>
            <a:chExt cx="3481673" cy="2389010"/>
          </a:xfrm>
        </xdr:grpSpPr>
        <xdr:grpSp>
          <xdr:nvGrpSpPr>
            <xdr:cNvPr id="79" name="Group 78">
              <a:extLst>
                <a:ext uri="{FF2B5EF4-FFF2-40B4-BE49-F238E27FC236}">
                  <a16:creationId xmlns:a16="http://schemas.microsoft.com/office/drawing/2014/main" id="{BBFE854E-5464-3509-5780-FF6C10F95497}"/>
                </a:ext>
              </a:extLst>
            </xdr:cNvPr>
            <xdr:cNvGrpSpPr/>
          </xdr:nvGrpSpPr>
          <xdr:grpSpPr>
            <a:xfrm>
              <a:off x="222097" y="5842000"/>
              <a:ext cx="3481673" cy="1948745"/>
              <a:chOff x="-31903" y="5898444"/>
              <a:chExt cx="3481673" cy="1948745"/>
            </a:xfrm>
          </xdr:grpSpPr>
          <xdr:sp macro="" textlink="'Pivot Tables'!N4">
            <xdr:nvSpPr>
              <xdr:cNvPr id="81" name="TextBox 80">
                <a:extLst>
                  <a:ext uri="{FF2B5EF4-FFF2-40B4-BE49-F238E27FC236}">
                    <a16:creationId xmlns:a16="http://schemas.microsoft.com/office/drawing/2014/main" id="{DDC6EC53-2CEE-5A9B-9804-023A09535357}"/>
                  </a:ext>
                </a:extLst>
              </xdr:cNvPr>
              <xdr:cNvSpPr txBox="1"/>
            </xdr:nvSpPr>
            <xdr:spPr>
              <a:xfrm>
                <a:off x="-31903" y="5898444"/>
                <a:ext cx="3481673"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38E5356-6A6C-4F35-9076-226A665F23CB}" type="TxLink">
                  <a:rPr lang="en-US" sz="1200" b="0" i="0" u="none" strike="noStrike">
                    <a:solidFill>
                      <a:schemeClr val="bg1"/>
                    </a:solidFill>
                    <a:latin typeface="Calibri"/>
                    <a:ea typeface="Calibri"/>
                    <a:cs typeface="Calibri"/>
                  </a:rPr>
                  <a:pPr algn="ctr"/>
                  <a:t>$49,605</a:t>
                </a:fld>
                <a:endParaRPr lang="en-US" sz="1600">
                  <a:solidFill>
                    <a:schemeClr val="bg1"/>
                  </a:solidFill>
                  <a:latin typeface="Avenir Next LT Pro Light" panose="020B0304020202020204" pitchFamily="34" charset="0"/>
                </a:endParaRPr>
              </a:p>
            </xdr:txBody>
          </xdr:sp>
          <xdr:sp macro="" textlink="'Pivot Tables'!N5">
            <xdr:nvSpPr>
              <xdr:cNvPr id="82" name="TextBox 81">
                <a:extLst>
                  <a:ext uri="{FF2B5EF4-FFF2-40B4-BE49-F238E27FC236}">
                    <a16:creationId xmlns:a16="http://schemas.microsoft.com/office/drawing/2014/main" id="{4A931665-722B-C56D-3EB8-D424267AFE8C}"/>
                  </a:ext>
                </a:extLst>
              </xdr:cNvPr>
              <xdr:cNvSpPr txBox="1"/>
            </xdr:nvSpPr>
            <xdr:spPr>
              <a:xfrm>
                <a:off x="255409" y="6290380"/>
                <a:ext cx="3176944"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8059036-279B-4E15-AB4D-A6D05B573C1C}" type="TxLink">
                  <a:rPr lang="en-US" sz="1200" b="0" i="0" u="none" strike="noStrike">
                    <a:solidFill>
                      <a:schemeClr val="bg1"/>
                    </a:solidFill>
                    <a:latin typeface="Calibri"/>
                    <a:ea typeface="Calibri"/>
                    <a:cs typeface="Calibri"/>
                  </a:rPr>
                  <a:pPr algn="ctr"/>
                  <a:t>$1,835,200</a:t>
                </a:fld>
                <a:endParaRPr lang="en-US" sz="1600">
                  <a:solidFill>
                    <a:schemeClr val="bg1"/>
                  </a:solidFill>
                  <a:latin typeface="Avenir Next LT Pro Light" panose="020B0304020202020204" pitchFamily="34" charset="0"/>
                </a:endParaRPr>
              </a:p>
            </xdr:txBody>
          </xdr:sp>
          <xdr:sp macro="" textlink="'Pivot Tables'!N6">
            <xdr:nvSpPr>
              <xdr:cNvPr id="83" name="TextBox 82">
                <a:extLst>
                  <a:ext uri="{FF2B5EF4-FFF2-40B4-BE49-F238E27FC236}">
                    <a16:creationId xmlns:a16="http://schemas.microsoft.com/office/drawing/2014/main" id="{4CB61B9D-263E-CCF0-F037-A0797BF99082}"/>
                  </a:ext>
                </a:extLst>
              </xdr:cNvPr>
              <xdr:cNvSpPr txBox="1"/>
            </xdr:nvSpPr>
            <xdr:spPr>
              <a:xfrm>
                <a:off x="255409" y="6682316"/>
                <a:ext cx="272412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7D76559-FB33-4A75-9B25-6EF6570B204C}" type="TxLink">
                  <a:rPr lang="en-US" sz="1200" b="0" i="0" u="none" strike="noStrike">
                    <a:solidFill>
                      <a:schemeClr val="bg1"/>
                    </a:solidFill>
                    <a:latin typeface="Calibri"/>
                    <a:ea typeface="Calibri"/>
                    <a:cs typeface="Calibri"/>
                  </a:rPr>
                  <a:pPr algn="ctr"/>
                  <a:t>$10,034</a:t>
                </a:fld>
                <a:endParaRPr lang="en-US" sz="1600">
                  <a:solidFill>
                    <a:schemeClr val="bg1"/>
                  </a:solidFill>
                  <a:latin typeface="Avenir Next LT Pro Light" panose="020B0304020202020204" pitchFamily="34" charset="0"/>
                </a:endParaRPr>
              </a:p>
            </xdr:txBody>
          </xdr:sp>
          <xdr:sp macro="" textlink="'Pivot Tables'!N7">
            <xdr:nvSpPr>
              <xdr:cNvPr id="84" name="TextBox 83">
                <a:extLst>
                  <a:ext uri="{FF2B5EF4-FFF2-40B4-BE49-F238E27FC236}">
                    <a16:creationId xmlns:a16="http://schemas.microsoft.com/office/drawing/2014/main" id="{083BFA9D-7668-CA24-BB55-DC43284D21F1}"/>
                  </a:ext>
                </a:extLst>
              </xdr:cNvPr>
              <xdr:cNvSpPr txBox="1"/>
            </xdr:nvSpPr>
            <xdr:spPr>
              <a:xfrm>
                <a:off x="105853" y="7074252"/>
                <a:ext cx="311750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52303D0-735B-4FCE-B49A-CAD45F49C585}" type="TxLink">
                  <a:rPr lang="en-US" sz="1200" b="0" i="0" u="none" strike="noStrike">
                    <a:solidFill>
                      <a:schemeClr val="bg1"/>
                    </a:solidFill>
                    <a:latin typeface="Calibri"/>
                    <a:ea typeface="Calibri"/>
                    <a:cs typeface="Calibri"/>
                  </a:rPr>
                  <a:pPr algn="ctr"/>
                  <a:t>$78,348</a:t>
                </a:fld>
                <a:endParaRPr lang="en-US" sz="1600">
                  <a:solidFill>
                    <a:schemeClr val="bg1"/>
                  </a:solidFill>
                  <a:latin typeface="Avenir Next LT Pro Light" panose="020B0304020202020204" pitchFamily="34" charset="0"/>
                </a:endParaRPr>
              </a:p>
            </xdr:txBody>
          </xdr:sp>
          <xdr:sp macro="" textlink="'Pivot Tables'!N8">
            <xdr:nvSpPr>
              <xdr:cNvPr id="85" name="TextBox 84">
                <a:extLst>
                  <a:ext uri="{FF2B5EF4-FFF2-40B4-BE49-F238E27FC236}">
                    <a16:creationId xmlns:a16="http://schemas.microsoft.com/office/drawing/2014/main" id="{2CF95E2B-676B-8C9A-35BA-7AE657847FAF}"/>
                  </a:ext>
                </a:extLst>
              </xdr:cNvPr>
              <xdr:cNvSpPr txBox="1"/>
            </xdr:nvSpPr>
            <xdr:spPr>
              <a:xfrm>
                <a:off x="255411" y="7466189"/>
                <a:ext cx="2741538"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F9B03C8-D358-4CF0-BBD3-1764310A6406}" type="TxLink">
                  <a:rPr lang="en-US" sz="1200" b="0" i="0" u="none" strike="noStrike">
                    <a:solidFill>
                      <a:schemeClr val="bg1"/>
                    </a:solidFill>
                    <a:latin typeface="Calibri"/>
                    <a:ea typeface="Calibri"/>
                    <a:cs typeface="Calibri"/>
                  </a:rPr>
                  <a:pPr algn="ctr"/>
                  <a:t>$40,000</a:t>
                </a:fld>
                <a:endParaRPr lang="en-US" sz="1600">
                  <a:solidFill>
                    <a:schemeClr val="bg1"/>
                  </a:solidFill>
                  <a:latin typeface="Avenir Next LT Pro Light" panose="020B0304020202020204" pitchFamily="34" charset="0"/>
                </a:endParaRPr>
              </a:p>
            </xdr:txBody>
          </xdr:sp>
        </xdr:grpSp>
        <xdr:sp macro="" textlink="'Pivot Tables'!N9">
          <xdr:nvSpPr>
            <xdr:cNvPr id="80" name="TextBox 79">
              <a:extLst>
                <a:ext uri="{FF2B5EF4-FFF2-40B4-BE49-F238E27FC236}">
                  <a16:creationId xmlns:a16="http://schemas.microsoft.com/office/drawing/2014/main" id="{F31E32C9-1E55-8D31-1415-885372EA94F4}"/>
                </a:ext>
              </a:extLst>
            </xdr:cNvPr>
            <xdr:cNvSpPr txBox="1"/>
          </xdr:nvSpPr>
          <xdr:spPr>
            <a:xfrm>
              <a:off x="419511" y="7850010"/>
              <a:ext cx="308684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A97110B-5372-428F-ADF0-8AED706DD69F}" type="TxLink">
                <a:rPr lang="en-US" sz="1200" b="0" i="0" u="none" strike="noStrike">
                  <a:solidFill>
                    <a:schemeClr val="bg1"/>
                  </a:solidFill>
                  <a:latin typeface="Calibri"/>
                  <a:ea typeface="Calibri"/>
                  <a:cs typeface="Calibri"/>
                </a:rPr>
                <a:pPr algn="ctr"/>
                <a:t>$111,769</a:t>
              </a:fld>
              <a:endParaRPr lang="en-US" sz="1600">
                <a:solidFill>
                  <a:schemeClr val="bg1"/>
                </a:solidFill>
                <a:latin typeface="Avenir Next LT Pro Light" panose="020B0304020202020204" pitchFamily="34" charset="0"/>
              </a:endParaRPr>
            </a:p>
          </xdr:txBody>
        </xdr:sp>
      </xdr:grpSp>
      <xdr:grpSp>
        <xdr:nvGrpSpPr>
          <xdr:cNvPr id="72" name="Group 71">
            <a:extLst>
              <a:ext uri="{FF2B5EF4-FFF2-40B4-BE49-F238E27FC236}">
                <a16:creationId xmlns:a16="http://schemas.microsoft.com/office/drawing/2014/main" id="{E468B6BE-5B14-CC6A-5836-E3586639E0F1}"/>
              </a:ext>
            </a:extLst>
          </xdr:cNvPr>
          <xdr:cNvGrpSpPr/>
        </xdr:nvGrpSpPr>
        <xdr:grpSpPr>
          <a:xfrm>
            <a:off x="330197" y="5792611"/>
            <a:ext cx="239893" cy="2333980"/>
            <a:chOff x="330197" y="5792611"/>
            <a:chExt cx="239893" cy="2333980"/>
          </a:xfrm>
        </xdr:grpSpPr>
        <xdr:sp macro="" textlink="'Pivot Tables'!N4">
          <xdr:nvSpPr>
            <xdr:cNvPr id="73" name="TextBox 72">
              <a:extLst>
                <a:ext uri="{FF2B5EF4-FFF2-40B4-BE49-F238E27FC236}">
                  <a16:creationId xmlns:a16="http://schemas.microsoft.com/office/drawing/2014/main" id="{47E5C107-F4F8-06A6-0653-A8871BEFAF60}"/>
                </a:ext>
              </a:extLst>
            </xdr:cNvPr>
            <xdr:cNvSpPr txBox="1"/>
          </xdr:nvSpPr>
          <xdr:spPr>
            <a:xfrm>
              <a:off x="330197" y="5792611"/>
              <a:ext cx="239893" cy="3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solidFill>
                    <a:srgbClr val="FF0000"/>
                  </a:solidFill>
                  <a:latin typeface="Avenir Next LT Pro Light" panose="020B0304020202020204" pitchFamily="34" charset="0"/>
                </a:rPr>
                <a:t>•</a:t>
              </a:r>
            </a:p>
          </xdr:txBody>
        </xdr:sp>
        <xdr:sp macro="" textlink="'Pivot Tables'!N4">
          <xdr:nvSpPr>
            <xdr:cNvPr id="74" name="TextBox 73">
              <a:extLst>
                <a:ext uri="{FF2B5EF4-FFF2-40B4-BE49-F238E27FC236}">
                  <a16:creationId xmlns:a16="http://schemas.microsoft.com/office/drawing/2014/main" id="{9D3EF948-A8A3-155D-469F-B7943CE0F517}"/>
                </a:ext>
              </a:extLst>
            </xdr:cNvPr>
            <xdr:cNvSpPr txBox="1"/>
          </xdr:nvSpPr>
          <xdr:spPr>
            <a:xfrm>
              <a:off x="330197" y="6199011"/>
              <a:ext cx="239893" cy="3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solidFill>
                    <a:srgbClr val="FF0000"/>
                  </a:solidFill>
                  <a:latin typeface="Avenir Next LT Pro Light" panose="020B0304020202020204" pitchFamily="34" charset="0"/>
                </a:rPr>
                <a:t>•</a:t>
              </a:r>
            </a:p>
          </xdr:txBody>
        </xdr:sp>
        <xdr:sp macro="" textlink="'Pivot Tables'!N4">
          <xdr:nvSpPr>
            <xdr:cNvPr id="75" name="TextBox 74">
              <a:extLst>
                <a:ext uri="{FF2B5EF4-FFF2-40B4-BE49-F238E27FC236}">
                  <a16:creationId xmlns:a16="http://schemas.microsoft.com/office/drawing/2014/main" id="{597C1646-CD4F-C28B-A6DE-11D62D660D83}"/>
                </a:ext>
              </a:extLst>
            </xdr:cNvPr>
            <xdr:cNvSpPr txBox="1"/>
          </xdr:nvSpPr>
          <xdr:spPr>
            <a:xfrm>
              <a:off x="330197" y="6605411"/>
              <a:ext cx="239893" cy="3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solidFill>
                    <a:srgbClr val="FF0000"/>
                  </a:solidFill>
                  <a:latin typeface="Avenir Next LT Pro Light" panose="020B0304020202020204" pitchFamily="34" charset="0"/>
                </a:rPr>
                <a:t>•</a:t>
              </a:r>
            </a:p>
          </xdr:txBody>
        </xdr:sp>
        <xdr:sp macro="" textlink="'Pivot Tables'!N4">
          <xdr:nvSpPr>
            <xdr:cNvPr id="76" name="TextBox 75">
              <a:extLst>
                <a:ext uri="{FF2B5EF4-FFF2-40B4-BE49-F238E27FC236}">
                  <a16:creationId xmlns:a16="http://schemas.microsoft.com/office/drawing/2014/main" id="{37A97E16-4412-7013-71D4-807B1265079B}"/>
                </a:ext>
              </a:extLst>
            </xdr:cNvPr>
            <xdr:cNvSpPr txBox="1"/>
          </xdr:nvSpPr>
          <xdr:spPr>
            <a:xfrm>
              <a:off x="330197" y="7011811"/>
              <a:ext cx="239893" cy="3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solidFill>
                    <a:srgbClr val="FF0000"/>
                  </a:solidFill>
                  <a:latin typeface="Avenir Next LT Pro Light" panose="020B0304020202020204" pitchFamily="34" charset="0"/>
                </a:rPr>
                <a:t>•</a:t>
              </a:r>
            </a:p>
          </xdr:txBody>
        </xdr:sp>
        <xdr:sp macro="" textlink="'Pivot Tables'!N4">
          <xdr:nvSpPr>
            <xdr:cNvPr id="77" name="TextBox 76">
              <a:extLst>
                <a:ext uri="{FF2B5EF4-FFF2-40B4-BE49-F238E27FC236}">
                  <a16:creationId xmlns:a16="http://schemas.microsoft.com/office/drawing/2014/main" id="{31ED4BEE-62BD-CFAD-7A12-EA027A682F5A}"/>
                </a:ext>
              </a:extLst>
            </xdr:cNvPr>
            <xdr:cNvSpPr txBox="1"/>
          </xdr:nvSpPr>
          <xdr:spPr>
            <a:xfrm>
              <a:off x="330197" y="7418211"/>
              <a:ext cx="239893" cy="3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solidFill>
                    <a:srgbClr val="FF0000"/>
                  </a:solidFill>
                  <a:latin typeface="Avenir Next LT Pro Light" panose="020B0304020202020204" pitchFamily="34" charset="0"/>
                </a:rPr>
                <a:t>•</a:t>
              </a:r>
            </a:p>
          </xdr:txBody>
        </xdr:sp>
        <xdr:sp macro="" textlink="'Pivot Tables'!N4">
          <xdr:nvSpPr>
            <xdr:cNvPr id="78" name="TextBox 77">
              <a:extLst>
                <a:ext uri="{FF2B5EF4-FFF2-40B4-BE49-F238E27FC236}">
                  <a16:creationId xmlns:a16="http://schemas.microsoft.com/office/drawing/2014/main" id="{6F84F8F4-F76E-F3C4-6008-731BDAD29D73}"/>
                </a:ext>
              </a:extLst>
            </xdr:cNvPr>
            <xdr:cNvSpPr txBox="1"/>
          </xdr:nvSpPr>
          <xdr:spPr>
            <a:xfrm>
              <a:off x="330197" y="7824611"/>
              <a:ext cx="239893" cy="3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solidFill>
                    <a:srgbClr val="FF0000"/>
                  </a:solidFill>
                  <a:latin typeface="Avenir Next LT Pro Light" panose="020B0304020202020204" pitchFamily="34" charset="0"/>
                </a:rPr>
                <a:t>•</a:t>
              </a:r>
            </a:p>
          </xdr:txBody>
        </xdr:sp>
      </xdr:grpSp>
    </xdr:grpSp>
    <xdr:clientData/>
  </xdr:twoCellAnchor>
  <xdr:twoCellAnchor>
    <xdr:from>
      <xdr:col>20</xdr:col>
      <xdr:colOff>529167</xdr:colOff>
      <xdr:row>3</xdr:row>
      <xdr:rowOff>7760</xdr:rowOff>
    </xdr:from>
    <xdr:to>
      <xdr:col>23</xdr:col>
      <xdr:colOff>102657</xdr:colOff>
      <xdr:row>9</xdr:row>
      <xdr:rowOff>171549</xdr:rowOff>
    </xdr:to>
    <xdr:grpSp>
      <xdr:nvGrpSpPr>
        <xdr:cNvPr id="47" name="Group 46">
          <a:extLst>
            <a:ext uri="{FF2B5EF4-FFF2-40B4-BE49-F238E27FC236}">
              <a16:creationId xmlns:a16="http://schemas.microsoft.com/office/drawing/2014/main" id="{38815A26-3A97-4964-A287-114460A09565}"/>
            </a:ext>
          </a:extLst>
        </xdr:cNvPr>
        <xdr:cNvGrpSpPr/>
      </xdr:nvGrpSpPr>
      <xdr:grpSpPr>
        <a:xfrm>
          <a:off x="13670492" y="611010"/>
          <a:ext cx="1551515" cy="1360764"/>
          <a:chOff x="14037179" y="1312332"/>
          <a:chExt cx="1041227" cy="999939"/>
        </a:xfrm>
      </xdr:grpSpPr>
      <xdr:sp macro="" textlink="">
        <xdr:nvSpPr>
          <xdr:cNvPr id="48" name="Rectangle: Rounded Corners 47">
            <a:extLst>
              <a:ext uri="{FF2B5EF4-FFF2-40B4-BE49-F238E27FC236}">
                <a16:creationId xmlns:a16="http://schemas.microsoft.com/office/drawing/2014/main" id="{6C705B68-7C91-7B15-30BE-C6F2306822DB}"/>
              </a:ext>
            </a:extLst>
          </xdr:cNvPr>
          <xdr:cNvSpPr/>
        </xdr:nvSpPr>
        <xdr:spPr>
          <a:xfrm>
            <a:off x="14118167" y="1312332"/>
            <a:ext cx="874889" cy="987779"/>
          </a:xfrm>
          <a:prstGeom prst="roundRect">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9" name="TextBox 48">
            <a:extLst>
              <a:ext uri="{FF2B5EF4-FFF2-40B4-BE49-F238E27FC236}">
                <a16:creationId xmlns:a16="http://schemas.microsoft.com/office/drawing/2014/main" id="{34134EFD-BF60-A385-1C9A-513DAD362DDD}"/>
              </a:ext>
            </a:extLst>
          </xdr:cNvPr>
          <xdr:cNvSpPr txBox="1"/>
        </xdr:nvSpPr>
        <xdr:spPr>
          <a:xfrm>
            <a:off x="14120073" y="1879059"/>
            <a:ext cx="870655" cy="433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latin typeface="Avenir Next LT Pro Light" panose="020B0304020202020204" pitchFamily="34" charset="0"/>
              </a:rPr>
              <a:t>Average</a:t>
            </a:r>
            <a:r>
              <a:rPr lang="en-US" sz="1400" b="1">
                <a:solidFill>
                  <a:schemeClr val="bg1"/>
                </a:solidFill>
                <a:latin typeface="Avenir Next LT Pro Light" panose="020B0304020202020204" pitchFamily="34" charset="0"/>
              </a:rPr>
              <a:t> </a:t>
            </a:r>
            <a:r>
              <a:rPr lang="en-US" sz="800" b="1">
                <a:solidFill>
                  <a:schemeClr val="bg1"/>
                </a:solidFill>
                <a:latin typeface="Avenir Next LT Pro Light" panose="020B0304020202020204" pitchFamily="34" charset="0"/>
              </a:rPr>
              <a:t>Monthly Expenses</a:t>
            </a:r>
            <a:endParaRPr lang="en-US" sz="1400" b="1">
              <a:solidFill>
                <a:schemeClr val="bg1"/>
              </a:solidFill>
              <a:latin typeface="Avenir Next LT Pro Light" panose="020B0304020202020204" pitchFamily="34" charset="0"/>
              <a:cs typeface="Arial" panose="020B0604020202020204" pitchFamily="34" charset="0"/>
            </a:endParaRPr>
          </a:p>
        </xdr:txBody>
      </xdr:sp>
      <xdr:sp macro="" textlink="'Pivot Tables'!AD4">
        <xdr:nvSpPr>
          <xdr:cNvPr id="51" name="TextBox 50">
            <a:extLst>
              <a:ext uri="{FF2B5EF4-FFF2-40B4-BE49-F238E27FC236}">
                <a16:creationId xmlns:a16="http://schemas.microsoft.com/office/drawing/2014/main" id="{53C105A2-196F-31DC-EE7F-4AEE6AB4F324}"/>
              </a:ext>
            </a:extLst>
          </xdr:cNvPr>
          <xdr:cNvSpPr txBox="1"/>
        </xdr:nvSpPr>
        <xdr:spPr>
          <a:xfrm>
            <a:off x="14037179" y="1633140"/>
            <a:ext cx="1041227" cy="2681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2568FDC-2E4C-4721-9D48-70F6070F73F6}" type="TxLink">
              <a:rPr lang="en-US" sz="1800" b="1" i="0" u="none" strike="noStrike">
                <a:solidFill>
                  <a:schemeClr val="bg2"/>
                </a:solidFill>
                <a:latin typeface="Avenir Next LT Pro Light" panose="020B0304020202020204" pitchFamily="34" charset="0"/>
                <a:ea typeface="Calibri"/>
                <a:cs typeface="Calibri"/>
              </a:rPr>
              <a:pPr algn="ctr"/>
              <a:t>$265,620</a:t>
            </a:fld>
            <a:endParaRPr lang="en-US" sz="1600" b="1">
              <a:solidFill>
                <a:schemeClr val="bg2"/>
              </a:solidFill>
              <a:latin typeface="Avenir Next LT Pro Light" panose="020B0304020202020204" pitchFamily="34" charset="0"/>
              <a:cs typeface="Arial" panose="020B0604020202020204" pitchFamily="34" charset="0"/>
            </a:endParaRPr>
          </a:p>
        </xdr:txBody>
      </xdr:sp>
      <xdr:sp macro="" textlink="'Pivot Tables'!AD4">
        <xdr:nvSpPr>
          <xdr:cNvPr id="52" name="TextBox 51">
            <a:extLst>
              <a:ext uri="{FF2B5EF4-FFF2-40B4-BE49-F238E27FC236}">
                <a16:creationId xmlns:a16="http://schemas.microsoft.com/office/drawing/2014/main" id="{F251B7C5-E0D3-9DC9-D8C2-07FA0C512E1B}"/>
              </a:ext>
            </a:extLst>
          </xdr:cNvPr>
          <xdr:cNvSpPr txBox="1"/>
        </xdr:nvSpPr>
        <xdr:spPr>
          <a:xfrm>
            <a:off x="14164735" y="1330680"/>
            <a:ext cx="355598" cy="249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FFC000"/>
                </a:solidFill>
                <a:latin typeface="Avenir Next LT Pro Light" panose="020B0304020202020204" pitchFamily="34" charset="0"/>
                <a:cs typeface="Arial" panose="020B0604020202020204" pitchFamily="34" charset="0"/>
              </a:rPr>
              <a:t>Ω</a:t>
            </a:r>
          </a:p>
        </xdr:txBody>
      </xdr:sp>
    </xdr:grpSp>
    <xdr:clientData/>
  </xdr:twoCellAnchor>
  <xdr:twoCellAnchor>
    <xdr:from>
      <xdr:col>20</xdr:col>
      <xdr:colOff>246947</xdr:colOff>
      <xdr:row>10</xdr:row>
      <xdr:rowOff>91722</xdr:rowOff>
    </xdr:from>
    <xdr:to>
      <xdr:col>23</xdr:col>
      <xdr:colOff>331970</xdr:colOff>
      <xdr:row>24</xdr:row>
      <xdr:rowOff>104776</xdr:rowOff>
    </xdr:to>
    <xdr:grpSp>
      <xdr:nvGrpSpPr>
        <xdr:cNvPr id="53" name="Group 52">
          <a:extLst>
            <a:ext uri="{FF2B5EF4-FFF2-40B4-BE49-F238E27FC236}">
              <a16:creationId xmlns:a16="http://schemas.microsoft.com/office/drawing/2014/main" id="{A2557863-DC3F-480F-9E62-8B2481361D54}"/>
            </a:ext>
          </a:extLst>
        </xdr:cNvPr>
        <xdr:cNvGrpSpPr/>
      </xdr:nvGrpSpPr>
      <xdr:grpSpPr>
        <a:xfrm>
          <a:off x="13391447" y="2117372"/>
          <a:ext cx="2059873" cy="2813404"/>
          <a:chOff x="13596145" y="2332565"/>
          <a:chExt cx="2083052" cy="2803879"/>
        </a:xfrm>
      </xdr:grpSpPr>
      <xdr:sp macro="" textlink="">
        <xdr:nvSpPr>
          <xdr:cNvPr id="54" name="Rectangle: Rounded Corners 53">
            <a:extLst>
              <a:ext uri="{FF2B5EF4-FFF2-40B4-BE49-F238E27FC236}">
                <a16:creationId xmlns:a16="http://schemas.microsoft.com/office/drawing/2014/main" id="{87599B6C-634F-F944-9B10-A5969C5FDE92}"/>
              </a:ext>
            </a:extLst>
          </xdr:cNvPr>
          <xdr:cNvSpPr/>
        </xdr:nvSpPr>
        <xdr:spPr>
          <a:xfrm>
            <a:off x="13950849" y="2332565"/>
            <a:ext cx="1337267" cy="2803879"/>
          </a:xfrm>
          <a:prstGeom prst="roundRect">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5" name="TextBox 54">
            <a:extLst>
              <a:ext uri="{FF2B5EF4-FFF2-40B4-BE49-F238E27FC236}">
                <a16:creationId xmlns:a16="http://schemas.microsoft.com/office/drawing/2014/main" id="{50E6D179-6A47-4841-AD8B-5E898E6FBF4F}"/>
              </a:ext>
            </a:extLst>
          </xdr:cNvPr>
          <xdr:cNvSpPr txBox="1"/>
        </xdr:nvSpPr>
        <xdr:spPr>
          <a:xfrm>
            <a:off x="13858103" y="2370664"/>
            <a:ext cx="1520600" cy="536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latin typeface="Avenir Next LT Pro" panose="020B0504020202020204" pitchFamily="34" charset="0"/>
              </a:rPr>
              <a:t>Operating</a:t>
            </a:r>
            <a:r>
              <a:rPr lang="en-US" sz="1050" b="1">
                <a:solidFill>
                  <a:schemeClr val="bg1"/>
                </a:solidFill>
                <a:latin typeface="Avenir Next LT Pro" panose="020B0504020202020204" pitchFamily="34" charset="0"/>
              </a:rPr>
              <a:t> Profit</a:t>
            </a:r>
            <a:endParaRPr lang="en-US" sz="1050" b="1">
              <a:solidFill>
                <a:schemeClr val="bg1"/>
              </a:solidFill>
              <a:latin typeface="Avenir Next LT Pro" panose="020B0504020202020204" pitchFamily="34" charset="0"/>
              <a:cs typeface="Arial" panose="020B0604020202020204" pitchFamily="34" charset="0"/>
            </a:endParaRPr>
          </a:p>
        </xdr:txBody>
      </xdr:sp>
      <xdr:graphicFrame macro="">
        <xdr:nvGraphicFramePr>
          <xdr:cNvPr id="56" name="Chart 55">
            <a:extLst>
              <a:ext uri="{FF2B5EF4-FFF2-40B4-BE49-F238E27FC236}">
                <a16:creationId xmlns:a16="http://schemas.microsoft.com/office/drawing/2014/main" id="{F788B252-80C3-BA84-70FC-45E4B0591419}"/>
              </a:ext>
            </a:extLst>
          </xdr:cNvPr>
          <xdr:cNvGraphicFramePr>
            <a:graphicFrameLocks/>
          </xdr:cNvGraphicFramePr>
        </xdr:nvGraphicFramePr>
        <xdr:xfrm>
          <a:off x="13979658" y="2617605"/>
          <a:ext cx="1563740" cy="2159001"/>
        </xdr:xfrm>
        <a:graphic>
          <a:graphicData uri="http://schemas.openxmlformats.org/drawingml/2006/chart">
            <c:chart xmlns:c="http://schemas.openxmlformats.org/drawingml/2006/chart" xmlns:r="http://schemas.openxmlformats.org/officeDocument/2006/relationships" r:id="rId10"/>
          </a:graphicData>
        </a:graphic>
      </xdr:graphicFrame>
      <xdr:sp macro="" textlink="'Pivot Tables'!AI4">
        <xdr:nvSpPr>
          <xdr:cNvPr id="57" name="TextBox 56">
            <a:extLst>
              <a:ext uri="{FF2B5EF4-FFF2-40B4-BE49-F238E27FC236}">
                <a16:creationId xmlns:a16="http://schemas.microsoft.com/office/drawing/2014/main" id="{DED53518-8662-F370-7F3E-6858F4D9453F}"/>
              </a:ext>
            </a:extLst>
          </xdr:cNvPr>
          <xdr:cNvSpPr txBox="1"/>
        </xdr:nvSpPr>
        <xdr:spPr>
          <a:xfrm>
            <a:off x="13596145" y="4614334"/>
            <a:ext cx="2083052" cy="479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C770D51-BB70-4ECC-B162-65B97597A519}" type="TxLink">
              <a:rPr lang="en-US" sz="1600" b="1" i="0" u="none" strike="noStrike">
                <a:solidFill>
                  <a:schemeClr val="accent4">
                    <a:lumMod val="60000"/>
                    <a:lumOff val="40000"/>
                  </a:schemeClr>
                </a:solidFill>
                <a:latin typeface="Avenir Next LT Pro" panose="020B0504020202020204" pitchFamily="34" charset="0"/>
                <a:ea typeface="Calibri" panose="020F0502020204030204" pitchFamily="34" charset="0"/>
                <a:cs typeface="Calibri" panose="020F0502020204030204" pitchFamily="34" charset="0"/>
              </a:rPr>
              <a:pPr algn="ctr"/>
              <a:t>$182,454</a:t>
            </a:fld>
            <a:endParaRPr lang="en-US" sz="1600" b="1">
              <a:solidFill>
                <a:schemeClr val="accent4">
                  <a:lumMod val="60000"/>
                  <a:lumOff val="40000"/>
                </a:schemeClr>
              </a:solidFill>
              <a:latin typeface="Avenir Next LT Pro" panose="020B0504020202020204" pitchFamily="34" charset="0"/>
              <a:ea typeface="Calibri" panose="020F0502020204030204" pitchFamily="34" charset="0"/>
              <a:cs typeface="Calibri" panose="020F0502020204030204" pitchFamily="34" charset="0"/>
            </a:endParaRPr>
          </a:p>
        </xdr:txBody>
      </xdr:sp>
    </xdr:grpSp>
    <xdr:clientData/>
  </xdr:twoCellAnchor>
  <xdr:twoCellAnchor>
    <xdr:from>
      <xdr:col>20</xdr:col>
      <xdr:colOff>161926</xdr:colOff>
      <xdr:row>24</xdr:row>
      <xdr:rowOff>197909</xdr:rowOff>
    </xdr:from>
    <xdr:to>
      <xdr:col>23</xdr:col>
      <xdr:colOff>360193</xdr:colOff>
      <xdr:row>37</xdr:row>
      <xdr:rowOff>122062</xdr:rowOff>
    </xdr:to>
    <xdr:grpSp>
      <xdr:nvGrpSpPr>
        <xdr:cNvPr id="58" name="Group 57">
          <a:extLst>
            <a:ext uri="{FF2B5EF4-FFF2-40B4-BE49-F238E27FC236}">
              <a16:creationId xmlns:a16="http://schemas.microsoft.com/office/drawing/2014/main" id="{62060D4E-392D-4D48-8383-4815203305CF}"/>
            </a:ext>
          </a:extLst>
        </xdr:cNvPr>
        <xdr:cNvGrpSpPr/>
      </xdr:nvGrpSpPr>
      <xdr:grpSpPr>
        <a:xfrm>
          <a:off x="13303251" y="5030259"/>
          <a:ext cx="2173117" cy="2524478"/>
          <a:chOff x="13553723" y="5241219"/>
          <a:chExt cx="2194284" cy="2498725"/>
        </a:xfrm>
      </xdr:grpSpPr>
      <xdr:sp macro="" textlink="">
        <xdr:nvSpPr>
          <xdr:cNvPr id="59" name="Rectangle: Rounded Corners 58">
            <a:extLst>
              <a:ext uri="{FF2B5EF4-FFF2-40B4-BE49-F238E27FC236}">
                <a16:creationId xmlns:a16="http://schemas.microsoft.com/office/drawing/2014/main" id="{833C0033-3DB0-B457-5476-32CC07B44E24}"/>
              </a:ext>
            </a:extLst>
          </xdr:cNvPr>
          <xdr:cNvSpPr/>
        </xdr:nvSpPr>
        <xdr:spPr>
          <a:xfrm>
            <a:off x="14008122" y="5241219"/>
            <a:ext cx="1286433" cy="2498725"/>
          </a:xfrm>
          <a:prstGeom prst="roundRect">
            <a:avLst/>
          </a:prstGeom>
          <a:solidFill>
            <a:srgbClr val="070E2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60" name="Chart 59">
            <a:extLst>
              <a:ext uri="{FF2B5EF4-FFF2-40B4-BE49-F238E27FC236}">
                <a16:creationId xmlns:a16="http://schemas.microsoft.com/office/drawing/2014/main" id="{1BE34224-C09B-35D2-9433-871CDB207C4C}"/>
              </a:ext>
            </a:extLst>
          </xdr:cNvPr>
          <xdr:cNvGraphicFramePr>
            <a:graphicFrameLocks/>
          </xdr:cNvGraphicFramePr>
        </xdr:nvGraphicFramePr>
        <xdr:xfrm>
          <a:off x="13553723" y="5806722"/>
          <a:ext cx="2194284" cy="1397000"/>
        </xdr:xfrm>
        <a:graphic>
          <a:graphicData uri="http://schemas.openxmlformats.org/drawingml/2006/chart">
            <c:chart xmlns:c="http://schemas.openxmlformats.org/drawingml/2006/chart" xmlns:r="http://schemas.openxmlformats.org/officeDocument/2006/relationships" r:id="rId11"/>
          </a:graphicData>
        </a:graphic>
      </xdr:graphicFrame>
      <xdr:sp macro="" textlink="'Pivot Tables'!AQ3">
        <xdr:nvSpPr>
          <xdr:cNvPr id="61" name="TextBox 60">
            <a:extLst>
              <a:ext uri="{FF2B5EF4-FFF2-40B4-BE49-F238E27FC236}">
                <a16:creationId xmlns:a16="http://schemas.microsoft.com/office/drawing/2014/main" id="{0C72DF90-4D0D-5173-38B3-1263D7EA8061}"/>
              </a:ext>
            </a:extLst>
          </xdr:cNvPr>
          <xdr:cNvSpPr txBox="1"/>
        </xdr:nvSpPr>
        <xdr:spPr>
          <a:xfrm>
            <a:off x="13950957" y="5682812"/>
            <a:ext cx="1347173" cy="283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57BA067-AC46-4976-BF5E-66B31DE06F5D}" type="TxLink">
              <a:rPr lang="en-US" sz="1200" b="0" i="0" u="none" strike="noStrike">
                <a:solidFill>
                  <a:schemeClr val="bg1"/>
                </a:solidFill>
                <a:latin typeface="Calibri"/>
                <a:ea typeface="Calibri"/>
                <a:cs typeface="Calibri"/>
              </a:rPr>
              <a:pPr algn="ctr"/>
              <a:t>$10,034</a:t>
            </a:fld>
            <a:endParaRPr lang="en-US" sz="1100" b="0">
              <a:solidFill>
                <a:schemeClr val="bg1"/>
              </a:solidFill>
              <a:latin typeface="Avenir Next LT Pro" panose="020B0504020202020204" pitchFamily="34" charset="0"/>
              <a:ea typeface="Calibri" panose="020F0502020204030204" pitchFamily="34" charset="0"/>
              <a:cs typeface="Calibri" panose="020F0502020204030204" pitchFamily="34" charset="0"/>
            </a:endParaRPr>
          </a:p>
        </xdr:txBody>
      </xdr:sp>
      <xdr:sp macro="" textlink="'Pivot Tables'!AQ4">
        <xdr:nvSpPr>
          <xdr:cNvPr id="62" name="TextBox 61">
            <a:extLst>
              <a:ext uri="{FF2B5EF4-FFF2-40B4-BE49-F238E27FC236}">
                <a16:creationId xmlns:a16="http://schemas.microsoft.com/office/drawing/2014/main" id="{BD6BC4AC-34A7-DD46-3586-F81C93E93F9F}"/>
              </a:ext>
            </a:extLst>
          </xdr:cNvPr>
          <xdr:cNvSpPr txBox="1"/>
        </xdr:nvSpPr>
        <xdr:spPr>
          <a:xfrm>
            <a:off x="13939259" y="7024238"/>
            <a:ext cx="1347173" cy="2829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8F900FB-FAF1-4050-BBF5-1B63C073AE9D}" type="TxLink">
              <a:rPr lang="en-US" sz="1200" b="0" i="0" u="none" strike="noStrike">
                <a:solidFill>
                  <a:schemeClr val="bg1"/>
                </a:solidFill>
                <a:latin typeface="Calibri"/>
                <a:ea typeface="Calibri"/>
                <a:cs typeface="Calibri"/>
              </a:rPr>
              <a:pPr algn="ctr"/>
              <a:t>$2,114,922</a:t>
            </a:fld>
            <a:endParaRPr lang="en-US" sz="1100" b="0">
              <a:solidFill>
                <a:schemeClr val="bg1"/>
              </a:solidFill>
              <a:latin typeface="Avenir Next LT Pro" panose="020B0504020202020204" pitchFamily="34" charset="0"/>
              <a:ea typeface="Calibri" panose="020F0502020204030204" pitchFamily="34" charset="0"/>
              <a:cs typeface="Calibri" panose="020F0502020204030204" pitchFamily="34" charset="0"/>
            </a:endParaRPr>
          </a:p>
        </xdr:txBody>
      </xdr:sp>
      <xdr:sp macro="" textlink="'Pivot Tables'!AR4">
        <xdr:nvSpPr>
          <xdr:cNvPr id="100" name="TextBox 99">
            <a:extLst>
              <a:ext uri="{FF2B5EF4-FFF2-40B4-BE49-F238E27FC236}">
                <a16:creationId xmlns:a16="http://schemas.microsoft.com/office/drawing/2014/main" id="{AB03B86A-3853-8668-6B0F-E6F1529E643F}"/>
              </a:ext>
            </a:extLst>
          </xdr:cNvPr>
          <xdr:cNvSpPr txBox="1"/>
        </xdr:nvSpPr>
        <xdr:spPr>
          <a:xfrm>
            <a:off x="13965963" y="7200525"/>
            <a:ext cx="1347173" cy="282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9BC0245-BD01-4FE5-9DD5-75DCECAD9AAE}" type="TxLink">
              <a:rPr lang="en-US" sz="1200" b="0" i="0" u="none" strike="noStrike">
                <a:solidFill>
                  <a:schemeClr val="bg1"/>
                </a:solidFill>
                <a:latin typeface="Calibri"/>
                <a:ea typeface="Calibri"/>
                <a:cs typeface="Calibri"/>
              </a:rPr>
              <a:pPr algn="ctr"/>
              <a:t>99.53%</a:t>
            </a:fld>
            <a:endParaRPr lang="en-US" sz="1100" b="0">
              <a:solidFill>
                <a:schemeClr val="bg1"/>
              </a:solidFill>
              <a:latin typeface="Avenir Next LT Pro" panose="020B0504020202020204" pitchFamily="34" charset="0"/>
              <a:ea typeface="Calibri" panose="020F0502020204030204" pitchFamily="34" charset="0"/>
              <a:cs typeface="Calibri" panose="020F0502020204030204" pitchFamily="34" charset="0"/>
            </a:endParaRPr>
          </a:p>
        </xdr:txBody>
      </xdr:sp>
      <xdr:sp macro="" textlink="'Pivot Tables'!AR3">
        <xdr:nvSpPr>
          <xdr:cNvPr id="101" name="TextBox 100">
            <a:extLst>
              <a:ext uri="{FF2B5EF4-FFF2-40B4-BE49-F238E27FC236}">
                <a16:creationId xmlns:a16="http://schemas.microsoft.com/office/drawing/2014/main" id="{7D16AE88-9B4F-A72B-C26A-4907D1613DB0}"/>
              </a:ext>
            </a:extLst>
          </xdr:cNvPr>
          <xdr:cNvSpPr txBox="1"/>
        </xdr:nvSpPr>
        <xdr:spPr>
          <a:xfrm>
            <a:off x="13946939" y="5505873"/>
            <a:ext cx="1347173" cy="282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7387651-A534-4437-924A-450BCDD9EF9B}" type="TxLink">
              <a:rPr lang="en-US" sz="1200" b="0" i="0" u="none" strike="noStrike">
                <a:solidFill>
                  <a:schemeClr val="bg1"/>
                </a:solidFill>
                <a:latin typeface="Calibri"/>
                <a:ea typeface="Calibri"/>
                <a:cs typeface="Calibri"/>
              </a:rPr>
              <a:pPr algn="ctr"/>
              <a:t>0.47%</a:t>
            </a:fld>
            <a:endParaRPr lang="en-US" sz="1100" b="0">
              <a:solidFill>
                <a:schemeClr val="bg1"/>
              </a:solidFill>
              <a:latin typeface="Avenir Next LT Pro" panose="020B0504020202020204" pitchFamily="34" charset="0"/>
              <a:ea typeface="Calibri" panose="020F0502020204030204" pitchFamily="34" charset="0"/>
              <a:cs typeface="Calibri" panose="020F0502020204030204" pitchFamily="34" charset="0"/>
            </a:endParaRPr>
          </a:p>
        </xdr:txBody>
      </xdr:sp>
      <xdr:sp macro="" textlink="">
        <xdr:nvSpPr>
          <xdr:cNvPr id="102" name="TextBox 101">
            <a:extLst>
              <a:ext uri="{FF2B5EF4-FFF2-40B4-BE49-F238E27FC236}">
                <a16:creationId xmlns:a16="http://schemas.microsoft.com/office/drawing/2014/main" id="{9CFF1FC6-020D-8134-C19F-60D0F0B6EF37}"/>
              </a:ext>
            </a:extLst>
          </xdr:cNvPr>
          <xdr:cNvSpPr txBox="1"/>
        </xdr:nvSpPr>
        <xdr:spPr>
          <a:xfrm>
            <a:off x="14236367" y="5298264"/>
            <a:ext cx="720509" cy="2546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chemeClr val="bg1"/>
                </a:solidFill>
                <a:latin typeface="Avenir Next LT Pro Light" panose="020B0304020202020204" pitchFamily="34" charset="0"/>
              </a:rPr>
              <a:t>Fixed</a:t>
            </a:r>
            <a:endParaRPr lang="en-US" sz="1200" b="1">
              <a:solidFill>
                <a:schemeClr val="bg1"/>
              </a:solidFill>
              <a:latin typeface="Avenir Next LT Pro Light" panose="020B0304020202020204" pitchFamily="34" charset="0"/>
              <a:cs typeface="Arial" panose="020B0604020202020204" pitchFamily="34" charset="0"/>
            </a:endParaRPr>
          </a:p>
        </xdr:txBody>
      </xdr:sp>
      <xdr:sp macro="" textlink="">
        <xdr:nvSpPr>
          <xdr:cNvPr id="103" name="TextBox 102">
            <a:extLst>
              <a:ext uri="{FF2B5EF4-FFF2-40B4-BE49-F238E27FC236}">
                <a16:creationId xmlns:a16="http://schemas.microsoft.com/office/drawing/2014/main" id="{B45E9FFA-B277-5A71-6075-4DFBE3702B48}"/>
              </a:ext>
            </a:extLst>
          </xdr:cNvPr>
          <xdr:cNvSpPr txBox="1"/>
        </xdr:nvSpPr>
        <xdr:spPr>
          <a:xfrm>
            <a:off x="14141505" y="7386368"/>
            <a:ext cx="986322" cy="2946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solidFill>
                <a:latin typeface="Avenir Next LT Pro Light" panose="020B0304020202020204" pitchFamily="34" charset="0"/>
                <a:cs typeface="Arial" panose="020B0604020202020204" pitchFamily="34" charset="0"/>
              </a:rPr>
              <a:t>Operations</a:t>
            </a:r>
          </a:p>
        </xdr:txBody>
      </xdr:sp>
    </xdr:grpSp>
    <xdr:clientData/>
  </xdr:twoCellAnchor>
  <xdr:twoCellAnchor>
    <xdr:from>
      <xdr:col>6</xdr:col>
      <xdr:colOff>87840</xdr:colOff>
      <xdr:row>9</xdr:row>
      <xdr:rowOff>28926</xdr:rowOff>
    </xdr:from>
    <xdr:to>
      <xdr:col>18</xdr:col>
      <xdr:colOff>128416</xdr:colOff>
      <xdr:row>9</xdr:row>
      <xdr:rowOff>219078</xdr:rowOff>
    </xdr:to>
    <xdr:grpSp>
      <xdr:nvGrpSpPr>
        <xdr:cNvPr id="104" name="Group 103">
          <a:extLst>
            <a:ext uri="{FF2B5EF4-FFF2-40B4-BE49-F238E27FC236}">
              <a16:creationId xmlns:a16="http://schemas.microsoft.com/office/drawing/2014/main" id="{91827FBF-8A32-4FB8-BEF7-F04BD5099AAF}"/>
            </a:ext>
          </a:extLst>
        </xdr:cNvPr>
        <xdr:cNvGrpSpPr/>
      </xdr:nvGrpSpPr>
      <xdr:grpSpPr>
        <a:xfrm>
          <a:off x="4028015" y="1825976"/>
          <a:ext cx="7927276" cy="190152"/>
          <a:chOff x="4019412" y="4254851"/>
          <a:chExt cx="7904421" cy="190152"/>
        </a:xfrm>
      </xdr:grpSpPr>
      <xdr:sp macro="" textlink="">
        <xdr:nvSpPr>
          <xdr:cNvPr id="105" name="TextBox 104">
            <a:extLst>
              <a:ext uri="{FF2B5EF4-FFF2-40B4-BE49-F238E27FC236}">
                <a16:creationId xmlns:a16="http://schemas.microsoft.com/office/drawing/2014/main" id="{0C88A6CC-B5DA-3A46-EBA7-2A51D26628F1}"/>
              </a:ext>
            </a:extLst>
          </xdr:cNvPr>
          <xdr:cNvSpPr txBox="1"/>
        </xdr:nvSpPr>
        <xdr:spPr>
          <a:xfrm>
            <a:off x="4019412" y="4275313"/>
            <a:ext cx="1779593" cy="1559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baseline="0">
                <a:solidFill>
                  <a:schemeClr val="bg1"/>
                </a:solidFill>
                <a:latin typeface="Avenir Next LT Pro" panose="020B0504020202020204" pitchFamily="34" charset="0"/>
              </a:rPr>
              <a:t>Price (cwt)</a:t>
            </a:r>
            <a:endParaRPr lang="en-US" sz="1000" b="1">
              <a:solidFill>
                <a:schemeClr val="bg1"/>
              </a:solidFill>
              <a:latin typeface="Avenir Next LT Pro" panose="020B0504020202020204" pitchFamily="34" charset="0"/>
            </a:endParaRPr>
          </a:p>
        </xdr:txBody>
      </xdr:sp>
      <xdr:sp macro="" textlink="">
        <xdr:nvSpPr>
          <xdr:cNvPr id="106" name="TextBox 105">
            <a:extLst>
              <a:ext uri="{FF2B5EF4-FFF2-40B4-BE49-F238E27FC236}">
                <a16:creationId xmlns:a16="http://schemas.microsoft.com/office/drawing/2014/main" id="{ACE6CB3E-7F04-15BE-5DD7-2153E84FCD37}"/>
              </a:ext>
            </a:extLst>
          </xdr:cNvPr>
          <xdr:cNvSpPr txBox="1"/>
        </xdr:nvSpPr>
        <xdr:spPr>
          <a:xfrm>
            <a:off x="6436046" y="4268259"/>
            <a:ext cx="1434637" cy="1767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bg1"/>
                </a:solidFill>
                <a:effectLst/>
                <a:latin typeface="Avenir Next LT Pro" panose="020B0504020202020204" pitchFamily="34" charset="0"/>
              </a:rPr>
              <a:t>Purchase Weight (lbs)</a:t>
            </a:r>
          </a:p>
        </xdr:txBody>
      </xdr:sp>
      <xdr:sp macro="" textlink="">
        <xdr:nvSpPr>
          <xdr:cNvPr id="107" name="TextBox 106">
            <a:extLst>
              <a:ext uri="{FF2B5EF4-FFF2-40B4-BE49-F238E27FC236}">
                <a16:creationId xmlns:a16="http://schemas.microsoft.com/office/drawing/2014/main" id="{2323677E-7453-1FFE-2DC3-804E1DDB3C3F}"/>
              </a:ext>
            </a:extLst>
          </xdr:cNvPr>
          <xdr:cNvSpPr txBox="1"/>
        </xdr:nvSpPr>
        <xdr:spPr>
          <a:xfrm>
            <a:off x="8317925" y="4254852"/>
            <a:ext cx="1425925" cy="1760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bg1"/>
                </a:solidFill>
                <a:latin typeface="Avenir Next LT Pro" panose="020B0504020202020204" pitchFamily="34" charset="0"/>
              </a:rPr>
              <a:t>Finish Weight (lbs)</a:t>
            </a:r>
          </a:p>
        </xdr:txBody>
      </xdr:sp>
      <xdr:sp macro="" textlink="">
        <xdr:nvSpPr>
          <xdr:cNvPr id="108" name="TextBox 107">
            <a:extLst>
              <a:ext uri="{FF2B5EF4-FFF2-40B4-BE49-F238E27FC236}">
                <a16:creationId xmlns:a16="http://schemas.microsoft.com/office/drawing/2014/main" id="{63B8A93E-CB6F-55C9-223F-2E3D39B7594C}"/>
              </a:ext>
            </a:extLst>
          </xdr:cNvPr>
          <xdr:cNvSpPr txBox="1"/>
        </xdr:nvSpPr>
        <xdr:spPr>
          <a:xfrm>
            <a:off x="10388194" y="4254851"/>
            <a:ext cx="1535639" cy="1838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baseline="0">
                <a:solidFill>
                  <a:schemeClr val="bg1"/>
                </a:solidFill>
                <a:latin typeface="Avenir Next LT Pro" panose="020B0504020202020204" pitchFamily="34" charset="0"/>
              </a:rPr>
              <a:t>Average Daily gain (lbs)</a:t>
            </a:r>
            <a:endParaRPr lang="en-US" sz="900" b="1">
              <a:solidFill>
                <a:schemeClr val="bg1"/>
              </a:solidFill>
              <a:latin typeface="Avenir Next LT Pro" panose="020B0504020202020204" pitchFamily="34" charset="0"/>
            </a:endParaRPr>
          </a:p>
        </xdr:txBody>
      </xdr:sp>
    </xdr:grpSp>
    <xdr:clientData/>
  </xdr:twoCellAnchor>
  <xdr:twoCellAnchor>
    <xdr:from>
      <xdr:col>9</xdr:col>
      <xdr:colOff>505177</xdr:colOff>
      <xdr:row>30</xdr:row>
      <xdr:rowOff>183443</xdr:rowOff>
    </xdr:from>
    <xdr:to>
      <xdr:col>15</xdr:col>
      <xdr:colOff>263870</xdr:colOff>
      <xdr:row>31</xdr:row>
      <xdr:rowOff>155226</xdr:rowOff>
    </xdr:to>
    <xdr:grpSp>
      <xdr:nvGrpSpPr>
        <xdr:cNvPr id="109" name="Group 108">
          <a:extLst>
            <a:ext uri="{FF2B5EF4-FFF2-40B4-BE49-F238E27FC236}">
              <a16:creationId xmlns:a16="http://schemas.microsoft.com/office/drawing/2014/main" id="{61664D0B-9CA9-4BA9-A296-C05C81CB6A18}"/>
            </a:ext>
          </a:extLst>
        </xdr:cNvPr>
        <xdr:cNvGrpSpPr/>
      </xdr:nvGrpSpPr>
      <xdr:grpSpPr>
        <a:xfrm>
          <a:off x="6417027" y="6209593"/>
          <a:ext cx="3705218" cy="174983"/>
          <a:chOff x="6407860" y="4282721"/>
          <a:chExt cx="3695693" cy="169338"/>
        </a:xfrm>
      </xdr:grpSpPr>
      <xdr:sp macro="" textlink="">
        <xdr:nvSpPr>
          <xdr:cNvPr id="111" name="TextBox 110">
            <a:extLst>
              <a:ext uri="{FF2B5EF4-FFF2-40B4-BE49-F238E27FC236}">
                <a16:creationId xmlns:a16="http://schemas.microsoft.com/office/drawing/2014/main" id="{235ECE85-B17C-FC4B-ACC8-6C4416AAA03F}"/>
              </a:ext>
            </a:extLst>
          </xdr:cNvPr>
          <xdr:cNvSpPr txBox="1"/>
        </xdr:nvSpPr>
        <xdr:spPr>
          <a:xfrm>
            <a:off x="6407860" y="4282723"/>
            <a:ext cx="1646767" cy="1693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bg1"/>
                </a:solidFill>
                <a:effectLst/>
                <a:latin typeface="Avenir Next LT Pro" panose="020B0504020202020204" pitchFamily="34" charset="0"/>
              </a:rPr>
              <a:t>Finish Selling Price (cwt)</a:t>
            </a:r>
          </a:p>
        </xdr:txBody>
      </xdr:sp>
      <xdr:sp macro="" textlink="">
        <xdr:nvSpPr>
          <xdr:cNvPr id="112" name="TextBox 111">
            <a:extLst>
              <a:ext uri="{FF2B5EF4-FFF2-40B4-BE49-F238E27FC236}">
                <a16:creationId xmlns:a16="http://schemas.microsoft.com/office/drawing/2014/main" id="{37C00609-F25A-EF09-D1C3-1E3AE10349B8}"/>
              </a:ext>
            </a:extLst>
          </xdr:cNvPr>
          <xdr:cNvSpPr txBox="1"/>
        </xdr:nvSpPr>
        <xdr:spPr>
          <a:xfrm>
            <a:off x="8254296" y="4282721"/>
            <a:ext cx="1849257" cy="1340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bg1"/>
                </a:solidFill>
                <a:latin typeface="Avenir Next LT Pro" panose="020B0504020202020204" pitchFamily="34" charset="0"/>
              </a:rPr>
              <a:t>Days</a:t>
            </a:r>
            <a:r>
              <a:rPr lang="en-US" sz="900" b="1" baseline="0">
                <a:solidFill>
                  <a:schemeClr val="bg1"/>
                </a:solidFill>
                <a:latin typeface="Avenir Next LT Pro" panose="020B0504020202020204" pitchFamily="34" charset="0"/>
              </a:rPr>
              <a:t> on Feed</a:t>
            </a:r>
            <a:endParaRPr lang="en-US" sz="900" b="1">
              <a:solidFill>
                <a:schemeClr val="bg1"/>
              </a:solidFill>
              <a:latin typeface="Avenir Next LT Pro" panose="020B0504020202020204" pitchFamily="34" charset="0"/>
            </a:endParaRPr>
          </a:p>
        </xdr:txBody>
      </xdr:sp>
    </xdr:grpSp>
    <xdr:clientData/>
  </xdr:twoCellAnchor>
  <xdr:twoCellAnchor>
    <xdr:from>
      <xdr:col>6</xdr:col>
      <xdr:colOff>476955</xdr:colOff>
      <xdr:row>16</xdr:row>
      <xdr:rowOff>7408</xdr:rowOff>
    </xdr:from>
    <xdr:to>
      <xdr:col>18</xdr:col>
      <xdr:colOff>112894</xdr:colOff>
      <xdr:row>17</xdr:row>
      <xdr:rowOff>4</xdr:rowOff>
    </xdr:to>
    <xdr:grpSp>
      <xdr:nvGrpSpPr>
        <xdr:cNvPr id="119" name="Group 118">
          <a:extLst>
            <a:ext uri="{FF2B5EF4-FFF2-40B4-BE49-F238E27FC236}">
              <a16:creationId xmlns:a16="http://schemas.microsoft.com/office/drawing/2014/main" id="{BDEB8FD1-F693-45D1-97C8-E0161E5918CC}"/>
            </a:ext>
          </a:extLst>
        </xdr:cNvPr>
        <xdr:cNvGrpSpPr/>
      </xdr:nvGrpSpPr>
      <xdr:grpSpPr>
        <a:xfrm>
          <a:off x="4420305" y="3239558"/>
          <a:ext cx="7522639" cy="189446"/>
          <a:chOff x="4413955" y="4261907"/>
          <a:chExt cx="7509939" cy="190151"/>
        </a:xfrm>
      </xdr:grpSpPr>
      <xdr:sp macro="" textlink="">
        <xdr:nvSpPr>
          <xdr:cNvPr id="120" name="TextBox 119">
            <a:extLst>
              <a:ext uri="{FF2B5EF4-FFF2-40B4-BE49-F238E27FC236}">
                <a16:creationId xmlns:a16="http://schemas.microsoft.com/office/drawing/2014/main" id="{9E146C1D-7A87-BD04-AA2E-B0D60F53933B}"/>
              </a:ext>
            </a:extLst>
          </xdr:cNvPr>
          <xdr:cNvSpPr txBox="1"/>
        </xdr:nvSpPr>
        <xdr:spPr>
          <a:xfrm>
            <a:off x="4413955" y="4275667"/>
            <a:ext cx="1463318" cy="169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chemeClr val="bg1"/>
                </a:solidFill>
                <a:latin typeface="Avenir Next LT Pro" panose="020B0504020202020204" pitchFamily="34" charset="0"/>
              </a:rPr>
              <a:t>Rolled Barley (Bu)</a:t>
            </a:r>
          </a:p>
        </xdr:txBody>
      </xdr:sp>
      <xdr:sp macro="" textlink="">
        <xdr:nvSpPr>
          <xdr:cNvPr id="121" name="TextBox 120">
            <a:extLst>
              <a:ext uri="{FF2B5EF4-FFF2-40B4-BE49-F238E27FC236}">
                <a16:creationId xmlns:a16="http://schemas.microsoft.com/office/drawing/2014/main" id="{6D9CB46A-2C08-2007-0A0C-7AE5133E6BE8}"/>
              </a:ext>
            </a:extLst>
          </xdr:cNvPr>
          <xdr:cNvSpPr txBox="1"/>
        </xdr:nvSpPr>
        <xdr:spPr>
          <a:xfrm>
            <a:off x="6330247" y="4283073"/>
            <a:ext cx="1387825" cy="1689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bg1"/>
                </a:solidFill>
                <a:effectLst/>
                <a:latin typeface="Avenir Next LT Pro" panose="020B0504020202020204" pitchFamily="34" charset="0"/>
              </a:rPr>
              <a:t>Corn Silage (ton)</a:t>
            </a:r>
          </a:p>
        </xdr:txBody>
      </xdr:sp>
      <xdr:sp macro="" textlink="">
        <xdr:nvSpPr>
          <xdr:cNvPr id="122" name="TextBox 121">
            <a:extLst>
              <a:ext uri="{FF2B5EF4-FFF2-40B4-BE49-F238E27FC236}">
                <a16:creationId xmlns:a16="http://schemas.microsoft.com/office/drawing/2014/main" id="{558AE7CC-F04A-E255-B585-5D669AB03B99}"/>
              </a:ext>
            </a:extLst>
          </xdr:cNvPr>
          <xdr:cNvSpPr txBox="1"/>
        </xdr:nvSpPr>
        <xdr:spPr>
          <a:xfrm>
            <a:off x="8021455" y="4282721"/>
            <a:ext cx="1849257" cy="1340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bg1"/>
                </a:solidFill>
                <a:latin typeface="Avenir Next LT Pro" panose="020B0504020202020204" pitchFamily="34" charset="0"/>
              </a:rPr>
              <a:t>Grass Hay (ton)</a:t>
            </a:r>
          </a:p>
        </xdr:txBody>
      </xdr:sp>
      <xdr:sp macro="" textlink="">
        <xdr:nvSpPr>
          <xdr:cNvPr id="123" name="TextBox 122">
            <a:extLst>
              <a:ext uri="{FF2B5EF4-FFF2-40B4-BE49-F238E27FC236}">
                <a16:creationId xmlns:a16="http://schemas.microsoft.com/office/drawing/2014/main" id="{8D378928-EFA2-33C9-EF13-5A3C5C48882A}"/>
              </a:ext>
            </a:extLst>
          </xdr:cNvPr>
          <xdr:cNvSpPr txBox="1"/>
        </xdr:nvSpPr>
        <xdr:spPr>
          <a:xfrm>
            <a:off x="10388255" y="4261907"/>
            <a:ext cx="1535639" cy="1838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baseline="0">
                <a:solidFill>
                  <a:schemeClr val="bg1"/>
                </a:solidFill>
                <a:latin typeface="Avenir Next LT Pro" panose="020B0504020202020204" pitchFamily="34" charset="0"/>
              </a:rPr>
              <a:t>Supplement 32% (ton)</a:t>
            </a:r>
            <a:endParaRPr lang="en-US" sz="900" b="1">
              <a:solidFill>
                <a:schemeClr val="bg1"/>
              </a:solidFill>
              <a:latin typeface="Avenir Next LT Pro" panose="020B0504020202020204" pitchFamily="34" charset="0"/>
            </a:endParaRPr>
          </a:p>
        </xdr:txBody>
      </xdr:sp>
    </xdr:grpSp>
    <xdr:clientData/>
  </xdr:twoCellAnchor>
  <xdr:twoCellAnchor>
    <xdr:from>
      <xdr:col>6</xdr:col>
      <xdr:colOff>526347</xdr:colOff>
      <xdr:row>23</xdr:row>
      <xdr:rowOff>183445</xdr:rowOff>
    </xdr:from>
    <xdr:to>
      <xdr:col>18</xdr:col>
      <xdr:colOff>310444</xdr:colOff>
      <xdr:row>25</xdr:row>
      <xdr:rowOff>3</xdr:rowOff>
    </xdr:to>
    <xdr:grpSp>
      <xdr:nvGrpSpPr>
        <xdr:cNvPr id="134" name="Group 133">
          <a:extLst>
            <a:ext uri="{FF2B5EF4-FFF2-40B4-BE49-F238E27FC236}">
              <a16:creationId xmlns:a16="http://schemas.microsoft.com/office/drawing/2014/main" id="{2469F001-0CE7-4D45-85AF-0B69EC76A89E}"/>
            </a:ext>
          </a:extLst>
        </xdr:cNvPr>
        <xdr:cNvGrpSpPr/>
      </xdr:nvGrpSpPr>
      <xdr:grpSpPr>
        <a:xfrm>
          <a:off x="4466522" y="4809420"/>
          <a:ext cx="7677147" cy="219783"/>
          <a:chOff x="4463347" y="4240389"/>
          <a:chExt cx="7658097" cy="211669"/>
        </a:xfrm>
      </xdr:grpSpPr>
      <xdr:sp macro="" textlink="">
        <xdr:nvSpPr>
          <xdr:cNvPr id="135" name="TextBox 134">
            <a:extLst>
              <a:ext uri="{FF2B5EF4-FFF2-40B4-BE49-F238E27FC236}">
                <a16:creationId xmlns:a16="http://schemas.microsoft.com/office/drawing/2014/main" id="{D032244A-E206-BC79-FD8A-B62BF6EF5863}"/>
              </a:ext>
            </a:extLst>
          </xdr:cNvPr>
          <xdr:cNvSpPr txBox="1"/>
        </xdr:nvSpPr>
        <xdr:spPr>
          <a:xfrm>
            <a:off x="4463347" y="4275666"/>
            <a:ext cx="1406874" cy="162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chemeClr val="bg1"/>
                </a:solidFill>
                <a:latin typeface="Avenir Next LT Pro" panose="020B0504020202020204" pitchFamily="34" charset="0"/>
              </a:rPr>
              <a:t>Mortality  Rate (%)</a:t>
            </a:r>
          </a:p>
        </xdr:txBody>
      </xdr:sp>
      <xdr:sp macro="" textlink="">
        <xdr:nvSpPr>
          <xdr:cNvPr id="136" name="TextBox 135">
            <a:extLst>
              <a:ext uri="{FF2B5EF4-FFF2-40B4-BE49-F238E27FC236}">
                <a16:creationId xmlns:a16="http://schemas.microsoft.com/office/drawing/2014/main" id="{C0FA7CF1-73FE-4B26-3A66-C576757DA592}"/>
              </a:ext>
            </a:extLst>
          </xdr:cNvPr>
          <xdr:cNvSpPr txBox="1"/>
        </xdr:nvSpPr>
        <xdr:spPr>
          <a:xfrm>
            <a:off x="6351412" y="4261555"/>
            <a:ext cx="1635475" cy="1905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bg1"/>
                </a:solidFill>
                <a:effectLst/>
                <a:latin typeface="Avenir Next LT Pro" panose="020B0504020202020204" pitchFamily="34" charset="0"/>
              </a:rPr>
              <a:t>Shrink Percentage (%)</a:t>
            </a:r>
          </a:p>
        </xdr:txBody>
      </xdr:sp>
      <xdr:sp macro="" textlink="">
        <xdr:nvSpPr>
          <xdr:cNvPr id="137" name="TextBox 136">
            <a:extLst>
              <a:ext uri="{FF2B5EF4-FFF2-40B4-BE49-F238E27FC236}">
                <a16:creationId xmlns:a16="http://schemas.microsoft.com/office/drawing/2014/main" id="{30D4B52D-224E-4292-9A90-796612037D03}"/>
              </a:ext>
            </a:extLst>
          </xdr:cNvPr>
          <xdr:cNvSpPr txBox="1"/>
        </xdr:nvSpPr>
        <xdr:spPr>
          <a:xfrm>
            <a:off x="8353076" y="4282721"/>
            <a:ext cx="1849257" cy="1340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bg1"/>
                </a:solidFill>
                <a:latin typeface="Avenir Next LT Pro" panose="020B0504020202020204" pitchFamily="34" charset="0"/>
              </a:rPr>
              <a:t>Operating Interest</a:t>
            </a:r>
            <a:r>
              <a:rPr lang="en-US" sz="900" b="1" baseline="0">
                <a:solidFill>
                  <a:schemeClr val="bg1"/>
                </a:solidFill>
                <a:latin typeface="Avenir Next LT Pro" panose="020B0504020202020204" pitchFamily="34" charset="0"/>
              </a:rPr>
              <a:t> Rate (%)</a:t>
            </a:r>
            <a:endParaRPr lang="en-US" sz="900" b="1">
              <a:solidFill>
                <a:schemeClr val="bg1"/>
              </a:solidFill>
              <a:latin typeface="Avenir Next LT Pro" panose="020B0504020202020204" pitchFamily="34" charset="0"/>
            </a:endParaRPr>
          </a:p>
        </xdr:txBody>
      </xdr:sp>
      <xdr:sp macro="" textlink="">
        <xdr:nvSpPr>
          <xdr:cNvPr id="138" name="TextBox 137">
            <a:extLst>
              <a:ext uri="{FF2B5EF4-FFF2-40B4-BE49-F238E27FC236}">
                <a16:creationId xmlns:a16="http://schemas.microsoft.com/office/drawing/2014/main" id="{21CB03A2-2FBB-808E-B85A-8806CE6A8A1A}"/>
              </a:ext>
            </a:extLst>
          </xdr:cNvPr>
          <xdr:cNvSpPr txBox="1"/>
        </xdr:nvSpPr>
        <xdr:spPr>
          <a:xfrm>
            <a:off x="10388255" y="4240389"/>
            <a:ext cx="1733189" cy="205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baseline="0">
                <a:solidFill>
                  <a:schemeClr val="bg1"/>
                </a:solidFill>
                <a:latin typeface="Avenir Next LT Pro" panose="020B0504020202020204" pitchFamily="34" charset="0"/>
              </a:rPr>
              <a:t>Investment Interest rate (%)</a:t>
            </a:r>
            <a:endParaRPr lang="en-US" sz="900" b="1">
              <a:solidFill>
                <a:schemeClr val="bg1"/>
              </a:solidFill>
              <a:latin typeface="Avenir Next LT Pro" panose="020B0504020202020204" pitchFamily="34" charset="0"/>
            </a:endParaRPr>
          </a:p>
        </xdr:txBody>
      </xdr:sp>
    </xdr:grpSp>
    <xdr:clientData/>
  </xdr:twoCellAnchor>
  <xdr:twoCellAnchor>
    <xdr:from>
      <xdr:col>6</xdr:col>
      <xdr:colOff>536219</xdr:colOff>
      <xdr:row>6</xdr:row>
      <xdr:rowOff>155222</xdr:rowOff>
    </xdr:from>
    <xdr:to>
      <xdr:col>9</xdr:col>
      <xdr:colOff>458611</xdr:colOff>
      <xdr:row>9</xdr:row>
      <xdr:rowOff>105830</xdr:rowOff>
    </xdr:to>
    <xdr:sp macro="" textlink="">
      <xdr:nvSpPr>
        <xdr:cNvPr id="139" name="TextBox 138">
          <a:extLst>
            <a:ext uri="{FF2B5EF4-FFF2-40B4-BE49-F238E27FC236}">
              <a16:creationId xmlns:a16="http://schemas.microsoft.com/office/drawing/2014/main" id="{E1B4B7E7-D744-4E14-91DC-2ED8EE18AFD6}"/>
            </a:ext>
          </a:extLst>
        </xdr:cNvPr>
        <xdr:cNvSpPr txBox="1"/>
      </xdr:nvSpPr>
      <xdr:spPr>
        <a:xfrm>
          <a:off x="4473219" y="1340555"/>
          <a:ext cx="1890892" cy="543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Avenir Next LT Pro Light" panose="020B0304020202020204" pitchFamily="34" charset="0"/>
            </a:rPr>
            <a:t>Feeder Cattle  </a:t>
          </a:r>
        </a:p>
      </xdr:txBody>
    </xdr:sp>
    <xdr:clientData/>
  </xdr:twoCellAnchor>
  <xdr:twoCellAnchor>
    <xdr:from>
      <xdr:col>6</xdr:col>
      <xdr:colOff>557390</xdr:colOff>
      <xdr:row>13</xdr:row>
      <xdr:rowOff>141111</xdr:rowOff>
    </xdr:from>
    <xdr:to>
      <xdr:col>10</xdr:col>
      <xdr:colOff>395111</xdr:colOff>
      <xdr:row>16</xdr:row>
      <xdr:rowOff>91719</xdr:rowOff>
    </xdr:to>
    <xdr:sp macro="" textlink="">
      <xdr:nvSpPr>
        <xdr:cNvPr id="140" name="TextBox 139">
          <a:extLst>
            <a:ext uri="{FF2B5EF4-FFF2-40B4-BE49-F238E27FC236}">
              <a16:creationId xmlns:a16="http://schemas.microsoft.com/office/drawing/2014/main" id="{483D9194-1C8C-4546-8335-D29C34407DAC}"/>
            </a:ext>
          </a:extLst>
        </xdr:cNvPr>
        <xdr:cNvSpPr txBox="1"/>
      </xdr:nvSpPr>
      <xdr:spPr>
        <a:xfrm>
          <a:off x="4494390" y="2737555"/>
          <a:ext cx="2462388" cy="543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Avenir Next LT Pro Light" panose="020B0304020202020204" pitchFamily="34" charset="0"/>
            </a:rPr>
            <a:t>Feed</a:t>
          </a:r>
          <a:r>
            <a:rPr lang="en-US" sz="2000" baseline="0">
              <a:solidFill>
                <a:schemeClr val="bg1"/>
              </a:solidFill>
              <a:latin typeface="Avenir Next LT Pro Light" panose="020B0304020202020204" pitchFamily="34" charset="0"/>
            </a:rPr>
            <a:t> Optimization</a:t>
          </a:r>
          <a:endParaRPr lang="en-US" sz="2000">
            <a:solidFill>
              <a:schemeClr val="bg1"/>
            </a:solidFill>
            <a:latin typeface="Avenir Next LT Pro Light" panose="020B0304020202020204" pitchFamily="34" charset="0"/>
          </a:endParaRPr>
        </a:p>
      </xdr:txBody>
    </xdr:sp>
    <xdr:clientData/>
  </xdr:twoCellAnchor>
  <xdr:twoCellAnchor>
    <xdr:from>
      <xdr:col>6</xdr:col>
      <xdr:colOff>557390</xdr:colOff>
      <xdr:row>21</xdr:row>
      <xdr:rowOff>119944</xdr:rowOff>
    </xdr:from>
    <xdr:to>
      <xdr:col>8</xdr:col>
      <xdr:colOff>529167</xdr:colOff>
      <xdr:row>24</xdr:row>
      <xdr:rowOff>42330</xdr:rowOff>
    </xdr:to>
    <xdr:sp macro="" textlink="">
      <xdr:nvSpPr>
        <xdr:cNvPr id="141" name="TextBox 140">
          <a:extLst>
            <a:ext uri="{FF2B5EF4-FFF2-40B4-BE49-F238E27FC236}">
              <a16:creationId xmlns:a16="http://schemas.microsoft.com/office/drawing/2014/main" id="{00104B3B-CD1A-4537-AAC3-60A56A600764}"/>
            </a:ext>
          </a:extLst>
        </xdr:cNvPr>
        <xdr:cNvSpPr txBox="1"/>
      </xdr:nvSpPr>
      <xdr:spPr>
        <a:xfrm>
          <a:off x="4494390" y="4296833"/>
          <a:ext cx="1284110" cy="5150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Avenir Next LT Pro Light" panose="020B0304020202020204" pitchFamily="34" charset="0"/>
            </a:rPr>
            <a:t>Rates </a:t>
          </a:r>
        </a:p>
      </xdr:txBody>
    </xdr:sp>
    <xdr:clientData/>
  </xdr:twoCellAnchor>
</xdr:wsDr>
</file>

<file path=xl/persons/person.xml><?xml version="1.0" encoding="utf-8"?>
<personList xmlns="http://schemas.microsoft.com/office/spreadsheetml/2018/threadedcomments" xmlns:x="http://schemas.openxmlformats.org/spreadsheetml/2006/main">
  <person displayName="Adeolu J. Adekunle" id="{79436E8C-AEC0-486D-8E58-C4D571AA1775}" userId="Adeolu J. Adekunle" providerId="Non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deolu J. Adekunle" refreshedDate="45702.60759201389" createdVersion="8" refreshedVersion="8" minRefreshableVersion="3" recordCount="720" xr:uid="{0B4A86C8-8083-4F33-8A35-6C31B111746A}">
  <cacheSource type="worksheet">
    <worksheetSource ref="H1:P721" sheet="Tables"/>
  </cacheSource>
  <cacheFields count="9">
    <cacheField name="Year " numFmtId="1">
      <sharedItems containsSemiMixedTypes="0" containsString="0" containsNumber="1" containsInteger="1" minValue="2021" maxValue="2025" count="5">
        <n v="2021"/>
        <n v="2022"/>
        <n v="2023"/>
        <n v="2024"/>
        <n v="2025"/>
      </sharedItems>
    </cacheField>
    <cacheField name="Month" numFmtId="1">
      <sharedItems count="8">
        <s v="Month 1"/>
        <s v="Month 2"/>
        <s v="Month 3"/>
        <s v="Month 4"/>
        <s v="Month 5"/>
        <s v="Month 6"/>
        <s v="Month 7"/>
        <s v="Month 8"/>
      </sharedItems>
    </cacheField>
    <cacheField name="Production Input" numFmtId="1">
      <sharedItems count="6">
        <s v="Feed"/>
        <s v="Feeder Cattle"/>
        <s v="Other Operations"/>
        <s v="Interest"/>
        <s v="Fixed"/>
        <s v="Labour"/>
      </sharedItems>
    </cacheField>
    <cacheField name="Input breakdown" numFmtId="1">
      <sharedItems count="18">
        <s v="Rolled Barley"/>
        <s v="Barley Silage"/>
        <s v="Grass Hay"/>
        <s v="Supplement"/>
        <s v="Feeder Cattle"/>
        <s v="Straw"/>
        <s v="Veterinary Medicine &amp; Supplies"/>
        <s v="Annual Fuel &amp; Repair Costs"/>
        <s v="Utilities"/>
        <s v="Marketing &amp; Transportation"/>
        <s v="Insurance"/>
        <s v="Manure Removal"/>
        <s v="Barn &amp; Office Supplies"/>
        <s v="Death Loss"/>
        <s v="Operating Interest"/>
        <s v="Depreciation"/>
        <s v="Investment"/>
        <s v="Labour"/>
      </sharedItems>
    </cacheField>
    <cacheField name="Count" numFmtId="1">
      <sharedItems containsSemiMixedTypes="0" containsString="0" containsNumber="1" minValue="0" maxValue="255"/>
    </cacheField>
    <cacheField name="Input Cost " numFmtId="164">
      <sharedItems containsSemiMixedTypes="0" containsString="0" containsNumber="1" minValue="0" maxValue="438748.01649414457"/>
    </cacheField>
    <cacheField name="Revenue" numFmtId="164">
      <sharedItems containsSemiMixedTypes="0" containsString="0" containsNumber="1" minValue="0" maxValue="716602.34942559537"/>
    </cacheField>
    <cacheField name="Operating Profit" numFmtId="164">
      <sharedItems containsSemiMixedTypes="0" containsString="0" containsNumber="1" minValue="0" maxValue="106231.7280014719"/>
    </cacheField>
    <cacheField name="Cost Type" numFmtId="164">
      <sharedItems count="2">
        <s v="OPS"/>
        <s v="FX"/>
      </sharedItems>
    </cacheField>
  </cacheFields>
  <extLst>
    <ext xmlns:x14="http://schemas.microsoft.com/office/spreadsheetml/2009/9/main" uri="{725AE2AE-9491-48be-B2B4-4EB974FC3084}">
      <x14:pivotCacheDefinition pivotCacheId="150873654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20">
  <r>
    <x v="0"/>
    <x v="0"/>
    <x v="0"/>
    <x v="0"/>
    <n v="0"/>
    <n v="0"/>
    <n v="0"/>
    <n v="0"/>
    <x v="0"/>
  </r>
  <r>
    <x v="0"/>
    <x v="0"/>
    <x v="0"/>
    <x v="1"/>
    <n v="240"/>
    <n v="2060.4817943651983"/>
    <n v="0"/>
    <n v="0"/>
    <x v="0"/>
  </r>
  <r>
    <x v="0"/>
    <x v="0"/>
    <x v="0"/>
    <x v="2"/>
    <n v="0"/>
    <n v="0"/>
    <n v="0"/>
    <n v="0"/>
    <x v="0"/>
  </r>
  <r>
    <x v="0"/>
    <x v="0"/>
    <x v="0"/>
    <x v="3"/>
    <n v="15"/>
    <n v="778.6904114538479"/>
    <n v="0"/>
    <n v="0"/>
    <x v="0"/>
  </r>
  <r>
    <x v="0"/>
    <x v="0"/>
    <x v="1"/>
    <x v="4"/>
    <n v="50"/>
    <n v="105038.78302830589"/>
    <n v="145391.5693535904"/>
    <n v="11496.55821671917"/>
    <x v="0"/>
  </r>
  <r>
    <x v="0"/>
    <x v="0"/>
    <x v="2"/>
    <x v="5"/>
    <n v="62.5"/>
    <n v="1573.9791484734153"/>
    <n v="0"/>
    <n v="0"/>
    <x v="0"/>
  </r>
  <r>
    <x v="0"/>
    <x v="0"/>
    <x v="2"/>
    <x v="6"/>
    <n v="1"/>
    <n v="619.86160647153054"/>
    <n v="0"/>
    <n v="0"/>
    <x v="0"/>
  </r>
  <r>
    <x v="0"/>
    <x v="0"/>
    <x v="2"/>
    <x v="7"/>
    <n v="1"/>
    <n v="200.3246188966165"/>
    <n v="0"/>
    <n v="0"/>
    <x v="0"/>
  </r>
  <r>
    <x v="0"/>
    <x v="0"/>
    <x v="2"/>
    <x v="8"/>
    <n v="2"/>
    <n v="143.08901349758321"/>
    <n v="0"/>
    <n v="0"/>
    <x v="0"/>
  </r>
  <r>
    <x v="0"/>
    <x v="0"/>
    <x v="2"/>
    <x v="9"/>
    <n v="2"/>
    <n v="2485.8568136908139"/>
    <n v="0"/>
    <n v="0"/>
    <x v="0"/>
  </r>
  <r>
    <x v="0"/>
    <x v="0"/>
    <x v="2"/>
    <x v="10"/>
    <n v="1"/>
    <n v="31.994703418059608"/>
    <n v="0"/>
    <n v="0"/>
    <x v="0"/>
  </r>
  <r>
    <x v="0"/>
    <x v="0"/>
    <x v="2"/>
    <x v="11"/>
    <n v="4"/>
    <n v="228.94242159613316"/>
    <n v="0"/>
    <n v="0"/>
    <x v="0"/>
  </r>
  <r>
    <x v="0"/>
    <x v="0"/>
    <x v="2"/>
    <x v="12"/>
    <n v="5"/>
    <n v="34.341363239419969"/>
    <n v="0"/>
    <n v="0"/>
    <x v="0"/>
  </r>
  <r>
    <x v="0"/>
    <x v="0"/>
    <x v="2"/>
    <x v="13"/>
    <n v="1"/>
    <n v="1078.7766905609794"/>
    <n v="0"/>
    <n v="0"/>
    <x v="0"/>
  </r>
  <r>
    <x v="0"/>
    <x v="0"/>
    <x v="3"/>
    <x v="14"/>
    <n v="2"/>
    <n v="4484.29521180346"/>
    <n v="0"/>
    <n v="0"/>
    <x v="0"/>
  </r>
  <r>
    <x v="0"/>
    <x v="0"/>
    <x v="4"/>
    <x v="15"/>
    <n v="2"/>
    <n v="468.87407942888069"/>
    <n v="0"/>
    <n v="0"/>
    <x v="1"/>
  </r>
  <r>
    <x v="0"/>
    <x v="0"/>
    <x v="4"/>
    <x v="16"/>
    <n v="3"/>
    <n v="105.42798514501932"/>
    <n v="0"/>
    <n v="0"/>
    <x v="1"/>
  </r>
  <r>
    <x v="0"/>
    <x v="0"/>
    <x v="5"/>
    <x v="17"/>
    <n v="2"/>
    <n v="2289.4242159613314"/>
    <n v="0"/>
    <n v="0"/>
    <x v="0"/>
  </r>
  <r>
    <x v="0"/>
    <x v="1"/>
    <x v="0"/>
    <x v="0"/>
    <n v="255"/>
    <n v="0"/>
    <n v="0"/>
    <n v="0"/>
    <x v="0"/>
  </r>
  <r>
    <x v="0"/>
    <x v="1"/>
    <x v="0"/>
    <x v="1"/>
    <n v="165"/>
    <n v="1242.7975832380594"/>
    <n v="0"/>
    <n v="0"/>
    <x v="0"/>
  </r>
  <r>
    <x v="0"/>
    <x v="1"/>
    <x v="0"/>
    <x v="2"/>
    <n v="75"/>
    <n v="0"/>
    <n v="0"/>
    <n v="0"/>
    <x v="0"/>
  </r>
  <r>
    <x v="0"/>
    <x v="1"/>
    <x v="0"/>
    <x v="3"/>
    <n v="15"/>
    <n v="469.67391999871654"/>
    <n v="0"/>
    <n v="0"/>
    <x v="0"/>
  </r>
  <r>
    <x v="0"/>
    <x v="1"/>
    <x v="1"/>
    <x v="4"/>
    <n v="50"/>
    <n v="63355.059021069064"/>
    <n v="56307.736074939734"/>
    <n v="4452.4257404696409"/>
    <x v="0"/>
  </r>
  <r>
    <x v="0"/>
    <x v="1"/>
    <x v="2"/>
    <x v="5"/>
    <n v="62.5"/>
    <n v="949.3592649735175"/>
    <n v="0"/>
    <n v="0"/>
    <x v="0"/>
  </r>
  <r>
    <x v="0"/>
    <x v="1"/>
    <x v="2"/>
    <x v="6"/>
    <n v="1"/>
    <n v="373.87493962411617"/>
    <n v="0"/>
    <n v="0"/>
    <x v="0"/>
  </r>
  <r>
    <x v="0"/>
    <x v="1"/>
    <x v="2"/>
    <x v="7"/>
    <n v="1"/>
    <n v="120.82754281481132"/>
    <n v="0"/>
    <n v="0"/>
    <x v="0"/>
  </r>
  <r>
    <x v="0"/>
    <x v="1"/>
    <x v="2"/>
    <x v="8"/>
    <n v="2"/>
    <n v="86.305387724865227"/>
    <n v="0"/>
    <n v="0"/>
    <x v="0"/>
  </r>
  <r>
    <x v="0"/>
    <x v="1"/>
    <x v="2"/>
    <x v="9"/>
    <n v="2"/>
    <n v="1499.3662398665385"/>
    <n v="0"/>
    <n v="0"/>
    <x v="0"/>
  </r>
  <r>
    <x v="0"/>
    <x v="1"/>
    <x v="2"/>
    <x v="10"/>
    <n v="1"/>
    <n v="19.297884695279865"/>
    <n v="0"/>
    <n v="0"/>
    <x v="0"/>
  </r>
  <r>
    <x v="0"/>
    <x v="1"/>
    <x v="2"/>
    <x v="11"/>
    <n v="4"/>
    <n v="138.08862035978436"/>
    <n v="0"/>
    <n v="0"/>
    <x v="0"/>
  </r>
  <r>
    <x v="0"/>
    <x v="1"/>
    <x v="2"/>
    <x v="12"/>
    <n v="5"/>
    <n v="20.713293053967654"/>
    <n v="0"/>
    <n v="0"/>
    <x v="0"/>
  </r>
  <r>
    <x v="0"/>
    <x v="1"/>
    <x v="2"/>
    <x v="13"/>
    <n v="1"/>
    <n v="650.67357913530395"/>
    <n v="0"/>
    <n v="0"/>
    <x v="0"/>
  </r>
  <r>
    <x v="0"/>
    <x v="1"/>
    <x v="3"/>
    <x v="14"/>
    <n v="2"/>
    <n v="2704.7418069870964"/>
    <n v="0"/>
    <n v="0"/>
    <x v="0"/>
  </r>
  <r>
    <x v="0"/>
    <x v="1"/>
    <x v="4"/>
    <x v="15"/>
    <n v="2"/>
    <n v="282.80549449683838"/>
    <n v="0"/>
    <n v="0"/>
    <x v="1"/>
  </r>
  <r>
    <x v="0"/>
    <x v="1"/>
    <x v="4"/>
    <x v="16"/>
    <n v="3"/>
    <n v="63.589809675680698"/>
    <n v="0"/>
    <n v="0"/>
    <x v="1"/>
  </r>
  <r>
    <x v="0"/>
    <x v="1"/>
    <x v="5"/>
    <x v="17"/>
    <n v="2"/>
    <n v="1380.8862035978436"/>
    <n v="0"/>
    <n v="0"/>
    <x v="0"/>
  </r>
  <r>
    <x v="0"/>
    <x v="2"/>
    <x v="0"/>
    <x v="0"/>
    <n v="255"/>
    <n v="0"/>
    <n v="0"/>
    <n v="0"/>
    <x v="0"/>
  </r>
  <r>
    <x v="0"/>
    <x v="2"/>
    <x v="0"/>
    <x v="1"/>
    <n v="165"/>
    <n v="4297.02969367067"/>
    <n v="0"/>
    <n v="0"/>
    <x v="0"/>
  </r>
  <r>
    <x v="0"/>
    <x v="2"/>
    <x v="0"/>
    <x v="2"/>
    <n v="75"/>
    <n v="0"/>
    <n v="0"/>
    <n v="0"/>
    <x v="0"/>
  </r>
  <r>
    <x v="0"/>
    <x v="2"/>
    <x v="0"/>
    <x v="3"/>
    <n v="15"/>
    <n v="1623.9191383997072"/>
    <n v="0"/>
    <n v="0"/>
    <x v="0"/>
  </r>
  <r>
    <x v="0"/>
    <x v="2"/>
    <x v="1"/>
    <x v="4"/>
    <n v="50"/>
    <n v="219053.02482845593"/>
    <n v="300449.26691434951"/>
    <n v="23757.446897426435"/>
    <x v="0"/>
  </r>
  <r>
    <x v="0"/>
    <x v="2"/>
    <x v="2"/>
    <x v="5"/>
    <n v="62.5"/>
    <n v="3282.4532382206507"/>
    <n v="0"/>
    <n v="0"/>
    <x v="0"/>
  </r>
  <r>
    <x v="0"/>
    <x v="2"/>
    <x v="2"/>
    <x v="6"/>
    <n v="1"/>
    <n v="1292.6897661792598"/>
    <n v="0"/>
    <n v="0"/>
    <x v="0"/>
  </r>
  <r>
    <x v="0"/>
    <x v="2"/>
    <x v="2"/>
    <x v="7"/>
    <n v="1"/>
    <n v="417.76677577353735"/>
    <n v="0"/>
    <n v="0"/>
    <x v="0"/>
  </r>
  <r>
    <x v="0"/>
    <x v="2"/>
    <x v="2"/>
    <x v="8"/>
    <n v="2"/>
    <n v="298.40483983824095"/>
    <n v="0"/>
    <n v="0"/>
    <x v="0"/>
  </r>
  <r>
    <x v="0"/>
    <x v="2"/>
    <x v="2"/>
    <x v="9"/>
    <n v="2"/>
    <n v="5184.1276015417925"/>
    <n v="0"/>
    <n v="0"/>
    <x v="0"/>
  </r>
  <r>
    <x v="0"/>
    <x v="2"/>
    <x v="2"/>
    <x v="10"/>
    <n v="1"/>
    <n v="66.723322187830675"/>
    <n v="0"/>
    <n v="0"/>
    <x v="0"/>
  </r>
  <r>
    <x v="0"/>
    <x v="2"/>
    <x v="2"/>
    <x v="11"/>
    <n v="4"/>
    <n v="477.44774374118555"/>
    <n v="0"/>
    <n v="0"/>
    <x v="0"/>
  </r>
  <r>
    <x v="0"/>
    <x v="2"/>
    <x v="2"/>
    <x v="12"/>
    <n v="5"/>
    <n v="71.617161561177824"/>
    <n v="0"/>
    <n v="0"/>
    <x v="0"/>
  </r>
  <r>
    <x v="0"/>
    <x v="2"/>
    <x v="2"/>
    <x v="13"/>
    <n v="1"/>
    <n v="2249.7337685084663"/>
    <n v="0"/>
    <n v="0"/>
    <x v="0"/>
  </r>
  <r>
    <x v="0"/>
    <x v="2"/>
    <x v="3"/>
    <x v="14"/>
    <n v="2"/>
    <n v="9351.7689566586014"/>
    <n v="0"/>
    <n v="0"/>
    <x v="0"/>
  </r>
  <r>
    <x v="0"/>
    <x v="2"/>
    <x v="4"/>
    <x v="15"/>
    <n v="2"/>
    <n v="977.81297918194798"/>
    <n v="0"/>
    <n v="0"/>
    <x v="1"/>
  </r>
  <r>
    <x v="0"/>
    <x v="2"/>
    <x v="4"/>
    <x v="16"/>
    <n v="3"/>
    <n v="219.86468599281594"/>
    <n v="0"/>
    <n v="0"/>
    <x v="1"/>
  </r>
  <r>
    <x v="0"/>
    <x v="2"/>
    <x v="5"/>
    <x v="17"/>
    <n v="2"/>
    <n v="4774.4774374118551"/>
    <n v="0"/>
    <n v="0"/>
    <x v="0"/>
  </r>
  <r>
    <x v="0"/>
    <x v="3"/>
    <x v="0"/>
    <x v="0"/>
    <n v="255"/>
    <n v="0"/>
    <n v="0"/>
    <n v="0"/>
    <x v="0"/>
  </r>
  <r>
    <x v="0"/>
    <x v="3"/>
    <x v="0"/>
    <x v="1"/>
    <n v="165"/>
    <n v="5269.7294032158179"/>
    <n v="0"/>
    <n v="0"/>
    <x v="0"/>
  </r>
  <r>
    <x v="0"/>
    <x v="3"/>
    <x v="0"/>
    <x v="2"/>
    <n v="75"/>
    <n v="0"/>
    <n v="0"/>
    <n v="0"/>
    <x v="0"/>
  </r>
  <r>
    <x v="0"/>
    <x v="3"/>
    <x v="0"/>
    <x v="3"/>
    <n v="15"/>
    <n v="1991.5185702986444"/>
    <n v="0"/>
    <n v="0"/>
    <x v="0"/>
  </r>
  <r>
    <x v="0"/>
    <x v="3"/>
    <x v="1"/>
    <x v="4"/>
    <n v="50"/>
    <n v="268639.09446615743"/>
    <n v="301460.48282248341"/>
    <n v="23837.406847024751"/>
    <x v="0"/>
  </r>
  <r>
    <x v="0"/>
    <x v="3"/>
    <x v="2"/>
    <x v="5"/>
    <n v="62.5"/>
    <n v="4025.4877385676386"/>
    <n v="0"/>
    <n v="0"/>
    <x v="0"/>
  </r>
  <r>
    <x v="0"/>
    <x v="3"/>
    <x v="2"/>
    <x v="6"/>
    <n v="1"/>
    <n v="1585.3102621340918"/>
    <n v="0"/>
    <n v="0"/>
    <x v="0"/>
  </r>
  <r>
    <x v="0"/>
    <x v="3"/>
    <x v="2"/>
    <x v="7"/>
    <n v="1"/>
    <n v="512.3348030904267"/>
    <n v="0"/>
    <n v="0"/>
    <x v="0"/>
  </r>
  <r>
    <x v="0"/>
    <x v="3"/>
    <x v="2"/>
    <x v="8"/>
    <n v="2"/>
    <n v="365.95343077887622"/>
    <n v="0"/>
    <n v="0"/>
    <x v="0"/>
  </r>
  <r>
    <x v="0"/>
    <x v="3"/>
    <x v="2"/>
    <x v="9"/>
    <n v="2"/>
    <n v="6357.6357622352607"/>
    <n v="0"/>
    <n v="0"/>
    <x v="0"/>
  </r>
  <r>
    <x v="0"/>
    <x v="3"/>
    <x v="2"/>
    <x v="10"/>
    <n v="1"/>
    <n v="81.82718712215673"/>
    <n v="0"/>
    <n v="0"/>
    <x v="0"/>
  </r>
  <r>
    <x v="0"/>
    <x v="3"/>
    <x v="2"/>
    <x v="11"/>
    <n v="4"/>
    <n v="585.52548924620191"/>
    <n v="0"/>
    <n v="0"/>
    <x v="0"/>
  </r>
  <r>
    <x v="0"/>
    <x v="3"/>
    <x v="2"/>
    <x v="12"/>
    <n v="5"/>
    <n v="87.828823386930296"/>
    <n v="0"/>
    <n v="0"/>
    <x v="0"/>
  </r>
  <r>
    <x v="0"/>
    <x v="3"/>
    <x v="2"/>
    <x v="13"/>
    <n v="1"/>
    <n v="2758.9961053281036"/>
    <n v="0"/>
    <n v="0"/>
    <x v="0"/>
  </r>
  <r>
    <x v="0"/>
    <x v="3"/>
    <x v="3"/>
    <x v="14"/>
    <n v="2"/>
    <n v="11468.687757865358"/>
    <n v="0"/>
    <n v="0"/>
    <x v="0"/>
  </r>
  <r>
    <x v="0"/>
    <x v="3"/>
    <x v="4"/>
    <x v="15"/>
    <n v="2"/>
    <n v="1199.1562019762216"/>
    <n v="0"/>
    <n v="0"/>
    <x v="1"/>
  </r>
  <r>
    <x v="0"/>
    <x v="3"/>
    <x v="4"/>
    <x v="16"/>
    <n v="3"/>
    <n v="269.63448779787598"/>
    <n v="0"/>
    <n v="0"/>
    <x v="1"/>
  </r>
  <r>
    <x v="0"/>
    <x v="3"/>
    <x v="5"/>
    <x v="17"/>
    <n v="2"/>
    <n v="5855.2548924620196"/>
    <n v="0"/>
    <n v="0"/>
    <x v="0"/>
  </r>
  <r>
    <x v="0"/>
    <x v="4"/>
    <x v="0"/>
    <x v="0"/>
    <n v="255"/>
    <n v="0"/>
    <n v="0"/>
    <n v="0"/>
    <x v="0"/>
  </r>
  <r>
    <x v="0"/>
    <x v="4"/>
    <x v="0"/>
    <x v="1"/>
    <n v="165"/>
    <n v="7663.6372925338856"/>
    <n v="0"/>
    <n v="0"/>
    <x v="0"/>
  </r>
  <r>
    <x v="0"/>
    <x v="4"/>
    <x v="0"/>
    <x v="2"/>
    <n v="75"/>
    <n v="0"/>
    <n v="0"/>
    <n v="0"/>
    <x v="0"/>
  </r>
  <r>
    <x v="0"/>
    <x v="4"/>
    <x v="0"/>
    <x v="3"/>
    <n v="15"/>
    <n v="2896.2162601367645"/>
    <n v="0"/>
    <n v="0"/>
    <x v="0"/>
  </r>
  <r>
    <x v="0"/>
    <x v="4"/>
    <x v="1"/>
    <x v="4"/>
    <n v="50"/>
    <n v="390675.19886828301"/>
    <n v="43891.143929925245"/>
    <n v="3470.6076399905437"/>
    <x v="0"/>
  </r>
  <r>
    <x v="0"/>
    <x v="4"/>
    <x v="2"/>
    <x v="5"/>
    <n v="62.5"/>
    <n v="5854.1673762411629"/>
    <n v="0"/>
    <n v="0"/>
    <x v="0"/>
  </r>
  <r>
    <x v="0"/>
    <x v="4"/>
    <x v="2"/>
    <x v="6"/>
    <n v="1"/>
    <n v="2305.4775521706106"/>
    <n v="0"/>
    <n v="0"/>
    <x v="0"/>
  </r>
  <r>
    <x v="0"/>
    <x v="4"/>
    <x v="2"/>
    <x v="7"/>
    <n v="1"/>
    <n v="745.07584788523889"/>
    <n v="0"/>
    <n v="0"/>
    <x v="0"/>
  </r>
  <r>
    <x v="0"/>
    <x v="4"/>
    <x v="2"/>
    <x v="8"/>
    <n v="2"/>
    <n v="532.19703420374208"/>
    <n v="0"/>
    <n v="0"/>
    <x v="0"/>
  </r>
  <r>
    <x v="0"/>
    <x v="4"/>
    <x v="2"/>
    <x v="9"/>
    <n v="2"/>
    <n v="9245.7526358147697"/>
    <n v="0"/>
    <n v="0"/>
    <x v="0"/>
  </r>
  <r>
    <x v="0"/>
    <x v="4"/>
    <x v="2"/>
    <x v="10"/>
    <n v="1"/>
    <n v="118.99925684795673"/>
    <n v="0"/>
    <n v="0"/>
    <x v="0"/>
  </r>
  <r>
    <x v="0"/>
    <x v="4"/>
    <x v="2"/>
    <x v="11"/>
    <n v="4"/>
    <n v="851.51525472598735"/>
    <n v="0"/>
    <n v="0"/>
    <x v="0"/>
  </r>
  <r>
    <x v="0"/>
    <x v="4"/>
    <x v="2"/>
    <x v="12"/>
    <n v="5"/>
    <n v="127.7272882088981"/>
    <n v="0"/>
    <n v="0"/>
    <x v="0"/>
  </r>
  <r>
    <x v="0"/>
    <x v="4"/>
    <x v="2"/>
    <x v="13"/>
    <n v="1"/>
    <n v="4012.3398802688521"/>
    <n v="0"/>
    <n v="0"/>
    <x v="0"/>
  </r>
  <r>
    <x v="0"/>
    <x v="4"/>
    <x v="3"/>
    <x v="14"/>
    <n v="2"/>
    <n v="16678.629294317914"/>
    <n v="0"/>
    <n v="0"/>
    <x v="0"/>
  </r>
  <r>
    <x v="0"/>
    <x v="4"/>
    <x v="4"/>
    <x v="15"/>
    <n v="2"/>
    <n v="1743.903241678822"/>
    <n v="0"/>
    <n v="0"/>
    <x v="1"/>
  </r>
  <r>
    <x v="0"/>
    <x v="4"/>
    <x v="4"/>
    <x v="16"/>
    <n v="3"/>
    <n v="392.12277480131718"/>
    <n v="0"/>
    <n v="0"/>
    <x v="1"/>
  </r>
  <r>
    <x v="0"/>
    <x v="4"/>
    <x v="5"/>
    <x v="17"/>
    <n v="2"/>
    <n v="8515.1525472598732"/>
    <n v="0"/>
    <n v="0"/>
    <x v="0"/>
  </r>
  <r>
    <x v="0"/>
    <x v="5"/>
    <x v="0"/>
    <x v="0"/>
    <n v="255"/>
    <n v="0"/>
    <n v="0"/>
    <n v="0"/>
    <x v="0"/>
  </r>
  <r>
    <x v="0"/>
    <x v="5"/>
    <x v="0"/>
    <x v="1"/>
    <n v="165"/>
    <n v="6369.736607102891"/>
    <n v="0"/>
    <n v="0"/>
    <x v="0"/>
  </r>
  <r>
    <x v="0"/>
    <x v="5"/>
    <x v="0"/>
    <x v="2"/>
    <n v="75"/>
    <n v="0"/>
    <n v="0"/>
    <n v="0"/>
    <x v="0"/>
  </r>
  <r>
    <x v="0"/>
    <x v="5"/>
    <x v="0"/>
    <x v="3"/>
    <n v="15"/>
    <n v="2407.2296261009674"/>
    <n v="0"/>
    <n v="0"/>
    <x v="0"/>
  </r>
  <r>
    <x v="0"/>
    <x v="5"/>
    <x v="1"/>
    <x v="4"/>
    <n v="50"/>
    <n v="324715.01725986734"/>
    <n v="589550.52631411422"/>
    <n v="46617.571965153744"/>
    <x v="0"/>
  </r>
  <r>
    <x v="0"/>
    <x v="5"/>
    <x v="2"/>
    <x v="5"/>
    <n v="62.5"/>
    <n v="4865.7710193147077"/>
    <n v="0"/>
    <n v="0"/>
    <x v="0"/>
  </r>
  <r>
    <x v="0"/>
    <x v="5"/>
    <x v="2"/>
    <x v="6"/>
    <n v="1"/>
    <n v="1916.2290959701195"/>
    <n v="0"/>
    <n v="0"/>
    <x v="0"/>
  </r>
  <r>
    <x v="0"/>
    <x v="5"/>
    <x v="2"/>
    <x v="7"/>
    <n v="1"/>
    <n v="619.27994791278104"/>
    <n v="0"/>
    <n v="0"/>
    <x v="0"/>
  </r>
  <r>
    <x v="0"/>
    <x v="5"/>
    <x v="2"/>
    <x v="8"/>
    <n v="2"/>
    <n v="442.34281993770071"/>
    <n v="0"/>
    <n v="0"/>
    <x v="0"/>
  </r>
  <r>
    <x v="0"/>
    <x v="5"/>
    <x v="2"/>
    <x v="9"/>
    <n v="2"/>
    <n v="7684.7333422136871"/>
    <n v="0"/>
    <n v="0"/>
    <x v="0"/>
  </r>
  <r>
    <x v="0"/>
    <x v="5"/>
    <x v="2"/>
    <x v="10"/>
    <n v="1"/>
    <n v="98.907854538069884"/>
    <n v="0"/>
    <n v="0"/>
    <x v="0"/>
  </r>
  <r>
    <x v="0"/>
    <x v="5"/>
    <x v="2"/>
    <x v="11"/>
    <n v="4"/>
    <n v="707.7485119003212"/>
    <n v="0"/>
    <n v="0"/>
    <x v="0"/>
  </r>
  <r>
    <x v="0"/>
    <x v="5"/>
    <x v="2"/>
    <x v="12"/>
    <n v="5"/>
    <n v="106.16227678504818"/>
    <n v="0"/>
    <n v="0"/>
    <x v="0"/>
  </r>
  <r>
    <x v="0"/>
    <x v="5"/>
    <x v="2"/>
    <x v="13"/>
    <n v="1"/>
    <n v="3334.9109880743135"/>
    <n v="0"/>
    <n v="0"/>
    <x v="0"/>
  </r>
  <r>
    <x v="0"/>
    <x v="5"/>
    <x v="3"/>
    <x v="14"/>
    <n v="2"/>
    <n v="13862.67010259159"/>
    <n v="0"/>
    <n v="0"/>
    <x v="0"/>
  </r>
  <r>
    <x v="0"/>
    <x v="5"/>
    <x v="4"/>
    <x v="15"/>
    <n v="2"/>
    <n v="1449.4689523718578"/>
    <n v="0"/>
    <n v="0"/>
    <x v="1"/>
  </r>
  <r>
    <x v="0"/>
    <x v="5"/>
    <x v="4"/>
    <x v="16"/>
    <n v="3"/>
    <n v="325.91818973009788"/>
    <n v="0"/>
    <n v="0"/>
    <x v="1"/>
  </r>
  <r>
    <x v="0"/>
    <x v="5"/>
    <x v="5"/>
    <x v="17"/>
    <n v="2"/>
    <n v="7077.4851190032114"/>
    <n v="0"/>
    <n v="0"/>
    <x v="0"/>
  </r>
  <r>
    <x v="0"/>
    <x v="6"/>
    <x v="0"/>
    <x v="0"/>
    <n v="255"/>
    <n v="0"/>
    <n v="0"/>
    <n v="0"/>
    <x v="0"/>
  </r>
  <r>
    <x v="0"/>
    <x v="6"/>
    <x v="0"/>
    <x v="1"/>
    <n v="165"/>
    <n v="5141.721296533392"/>
    <n v="0"/>
    <n v="0"/>
    <x v="0"/>
  </r>
  <r>
    <x v="0"/>
    <x v="6"/>
    <x v="0"/>
    <x v="2"/>
    <n v="75"/>
    <n v="0"/>
    <n v="0"/>
    <n v="0"/>
    <x v="0"/>
  </r>
  <r>
    <x v="0"/>
    <x v="6"/>
    <x v="0"/>
    <x v="3"/>
    <n v="15"/>
    <n v="1943.1421733149111"/>
    <n v="0"/>
    <n v="0"/>
    <x v="0"/>
  </r>
  <r>
    <x v="0"/>
    <x v="6"/>
    <x v="1"/>
    <x v="4"/>
    <n v="100"/>
    <n v="262113.52564994671"/>
    <n v="369491.92150372587"/>
    <n v="29216.8617827091"/>
    <x v="0"/>
  </r>
  <r>
    <x v="0"/>
    <x v="6"/>
    <x v="2"/>
    <x v="5"/>
    <n v="62.5"/>
    <n v="3927.7037681852298"/>
    <n v="0"/>
    <n v="0"/>
    <x v="0"/>
  </r>
  <r>
    <x v="0"/>
    <x v="6"/>
    <x v="2"/>
    <x v="6"/>
    <n v="1"/>
    <n v="1546.8011567071287"/>
    <n v="0"/>
    <n v="0"/>
    <x v="0"/>
  </r>
  <r>
    <x v="0"/>
    <x v="6"/>
    <x v="2"/>
    <x v="7"/>
    <n v="1"/>
    <n v="499.88957049630199"/>
    <n v="0"/>
    <n v="0"/>
    <x v="0"/>
  </r>
  <r>
    <x v="0"/>
    <x v="6"/>
    <x v="2"/>
    <x v="8"/>
    <n v="2"/>
    <n v="357.06397892593003"/>
    <n v="0"/>
    <n v="0"/>
    <x v="0"/>
  </r>
  <r>
    <x v="0"/>
    <x v="6"/>
    <x v="2"/>
    <x v="9"/>
    <n v="2"/>
    <n v="6203.2010930843971"/>
    <n v="0"/>
    <n v="0"/>
    <x v="0"/>
  </r>
  <r>
    <x v="0"/>
    <x v="6"/>
    <x v="2"/>
    <x v="10"/>
    <n v="1"/>
    <n v="79.839505687837942"/>
    <n v="0"/>
    <n v="0"/>
    <x v="0"/>
  </r>
  <r>
    <x v="0"/>
    <x v="6"/>
    <x v="2"/>
    <x v="11"/>
    <n v="4"/>
    <n v="571.30236628148805"/>
    <n v="0"/>
    <n v="0"/>
    <x v="0"/>
  </r>
  <r>
    <x v="0"/>
    <x v="6"/>
    <x v="2"/>
    <x v="12"/>
    <n v="5"/>
    <n v="85.695354942223204"/>
    <n v="0"/>
    <n v="0"/>
    <x v="0"/>
  </r>
  <r>
    <x v="0"/>
    <x v="6"/>
    <x v="2"/>
    <x v="13"/>
    <n v="1"/>
    <n v="2691.9767499183713"/>
    <n v="0"/>
    <n v="0"/>
    <x v="0"/>
  </r>
  <r>
    <x v="0"/>
    <x v="6"/>
    <x v="3"/>
    <x v="14"/>
    <n v="2"/>
    <n v="11190.099448355506"/>
    <n v="0"/>
    <n v="0"/>
    <x v="0"/>
  </r>
  <r>
    <x v="0"/>
    <x v="6"/>
    <x v="4"/>
    <x v="15"/>
    <n v="2"/>
    <n v="1170.0272461444874"/>
    <n v="0"/>
    <n v="0"/>
    <x v="1"/>
  </r>
  <r>
    <x v="0"/>
    <x v="6"/>
    <x v="4"/>
    <x v="16"/>
    <n v="3"/>
    <n v="263.08473967262523"/>
    <n v="0"/>
    <n v="0"/>
    <x v="1"/>
  </r>
  <r>
    <x v="0"/>
    <x v="6"/>
    <x v="5"/>
    <x v="17"/>
    <n v="2"/>
    <n v="5713.0236628148805"/>
    <n v="0"/>
    <n v="0"/>
    <x v="0"/>
  </r>
  <r>
    <x v="0"/>
    <x v="7"/>
    <x v="0"/>
    <x v="0"/>
    <n v="255"/>
    <n v="0"/>
    <n v="0"/>
    <n v="0"/>
    <x v="0"/>
  </r>
  <r>
    <x v="0"/>
    <x v="7"/>
    <x v="0"/>
    <x v="1"/>
    <n v="165"/>
    <n v="3954.8663293400873"/>
    <n v="0"/>
    <n v="0"/>
    <x v="0"/>
  </r>
  <r>
    <x v="0"/>
    <x v="7"/>
    <x v="0"/>
    <x v="2"/>
    <n v="75"/>
    <n v="0"/>
    <n v="0"/>
    <n v="0"/>
    <x v="0"/>
  </r>
  <r>
    <x v="0"/>
    <x v="7"/>
    <x v="0"/>
    <x v="3"/>
    <n v="15"/>
    <n v="1494.6099002964413"/>
    <n v="0"/>
    <n v="0"/>
    <x v="0"/>
  </r>
  <r>
    <x v="0"/>
    <x v="7"/>
    <x v="1"/>
    <x v="4"/>
    <n v="100"/>
    <n v="201610.29687791466"/>
    <n v="500867.3530868715"/>
    <n v="39605.120910506608"/>
    <x v="0"/>
  </r>
  <r>
    <x v="0"/>
    <x v="7"/>
    <x v="2"/>
    <x v="5"/>
    <n v="62.5"/>
    <n v="3021.0784460236778"/>
    <n v="0"/>
    <n v="0"/>
    <x v="0"/>
  </r>
  <r>
    <x v="0"/>
    <x v="7"/>
    <x v="2"/>
    <x v="6"/>
    <n v="1"/>
    <n v="1189.755620743143"/>
    <n v="0"/>
    <n v="0"/>
    <x v="0"/>
  </r>
  <r>
    <x v="0"/>
    <x v="7"/>
    <x v="2"/>
    <x v="7"/>
    <n v="1"/>
    <n v="384.50089313028627"/>
    <n v="0"/>
    <n v="0"/>
    <x v="0"/>
  </r>
  <r>
    <x v="0"/>
    <x v="7"/>
    <x v="2"/>
    <x v="8"/>
    <n v="2"/>
    <n v="274.64349509306163"/>
    <n v="0"/>
    <n v="0"/>
    <x v="0"/>
  </r>
  <r>
    <x v="0"/>
    <x v="7"/>
    <x v="2"/>
    <x v="9"/>
    <n v="2"/>
    <n v="4771.3265115527411"/>
    <n v="0"/>
    <n v="0"/>
    <x v="0"/>
  </r>
  <r>
    <x v="0"/>
    <x v="7"/>
    <x v="2"/>
    <x v="10"/>
    <n v="1"/>
    <n v="61.410285502808577"/>
    <n v="0"/>
    <n v="0"/>
    <x v="0"/>
  </r>
  <r>
    <x v="0"/>
    <x v="7"/>
    <x v="2"/>
    <x v="11"/>
    <n v="4"/>
    <n v="439.42959214889862"/>
    <n v="0"/>
    <n v="0"/>
    <x v="0"/>
  </r>
  <r>
    <x v="0"/>
    <x v="7"/>
    <x v="2"/>
    <x v="12"/>
    <n v="5"/>
    <n v="65.914438822334787"/>
    <n v="0"/>
    <n v="0"/>
    <x v="0"/>
  </r>
  <r>
    <x v="0"/>
    <x v="7"/>
    <x v="2"/>
    <x v="13"/>
    <n v="1"/>
    <n v="2070.5922382056101"/>
    <n v="0"/>
    <n v="0"/>
    <x v="0"/>
  </r>
  <r>
    <x v="0"/>
    <x v="7"/>
    <x v="3"/>
    <x v="14"/>
    <n v="2"/>
    <n v="8607.1074214204764"/>
    <n v="0"/>
    <n v="0"/>
    <x v="0"/>
  </r>
  <r>
    <x v="0"/>
    <x v="7"/>
    <x v="4"/>
    <x v="15"/>
    <n v="2"/>
    <n v="899.95180472094432"/>
    <n v="0"/>
    <n v="0"/>
    <x v="1"/>
  </r>
  <r>
    <x v="0"/>
    <x v="7"/>
    <x v="4"/>
    <x v="16"/>
    <n v="3"/>
    <n v="202.35732718456779"/>
    <n v="0"/>
    <n v="0"/>
    <x v="1"/>
  </r>
  <r>
    <x v="0"/>
    <x v="7"/>
    <x v="5"/>
    <x v="17"/>
    <n v="2"/>
    <n v="4394.2959214889861"/>
    <n v="0"/>
    <n v="0"/>
    <x v="0"/>
  </r>
  <r>
    <x v="1"/>
    <x v="0"/>
    <x v="0"/>
    <x v="0"/>
    <n v="255"/>
    <n v="0"/>
    <n v="0"/>
    <n v="0"/>
    <x v="0"/>
  </r>
  <r>
    <x v="1"/>
    <x v="0"/>
    <x v="0"/>
    <x v="1"/>
    <n v="165"/>
    <n v="2101.6914302525024"/>
    <n v="0"/>
    <n v="0"/>
    <x v="0"/>
  </r>
  <r>
    <x v="1"/>
    <x v="0"/>
    <x v="0"/>
    <x v="2"/>
    <n v="75"/>
    <n v="0"/>
    <n v="0"/>
    <n v="0"/>
    <x v="0"/>
  </r>
  <r>
    <x v="1"/>
    <x v="0"/>
    <x v="0"/>
    <x v="3"/>
    <n v="15"/>
    <n v="794.26421968292482"/>
    <n v="0"/>
    <n v="0"/>
    <x v="0"/>
  </r>
  <r>
    <x v="1"/>
    <x v="0"/>
    <x v="1"/>
    <x v="4"/>
    <n v="50"/>
    <n v="107139.55868887201"/>
    <n v="152661.1478212699"/>
    <n v="16025.268587253846"/>
    <x v="0"/>
  </r>
  <r>
    <x v="1"/>
    <x v="0"/>
    <x v="2"/>
    <x v="5"/>
    <n v="62.5"/>
    <n v="1605.4587314428836"/>
    <n v="0"/>
    <n v="0"/>
    <x v="0"/>
  </r>
  <r>
    <x v="1"/>
    <x v="0"/>
    <x v="2"/>
    <x v="6"/>
    <n v="1"/>
    <n v="632.2588386009611"/>
    <n v="0"/>
    <n v="0"/>
    <x v="0"/>
  </r>
  <r>
    <x v="1"/>
    <x v="0"/>
    <x v="2"/>
    <x v="7"/>
    <n v="1"/>
    <n v="204.33111127454885"/>
    <n v="0"/>
    <n v="0"/>
    <x v="0"/>
  </r>
  <r>
    <x v="1"/>
    <x v="0"/>
    <x v="2"/>
    <x v="8"/>
    <n v="2"/>
    <n v="145.95079376753489"/>
    <n v="0"/>
    <n v="0"/>
    <x v="0"/>
  </r>
  <r>
    <x v="1"/>
    <x v="0"/>
    <x v="2"/>
    <x v="9"/>
    <n v="2"/>
    <n v="2535.5739499646302"/>
    <n v="0"/>
    <n v="0"/>
    <x v="0"/>
  </r>
  <r>
    <x v="1"/>
    <x v="0"/>
    <x v="2"/>
    <x v="10"/>
    <n v="1"/>
    <n v="32.634597486420802"/>
    <n v="0"/>
    <n v="0"/>
    <x v="0"/>
  </r>
  <r>
    <x v="1"/>
    <x v="0"/>
    <x v="2"/>
    <x v="11"/>
    <n v="4"/>
    <n v="233.52127002805582"/>
    <n v="0"/>
    <n v="0"/>
    <x v="0"/>
  </r>
  <r>
    <x v="1"/>
    <x v="0"/>
    <x v="2"/>
    <x v="12"/>
    <n v="5"/>
    <n v="35.028190504208375"/>
    <n v="0"/>
    <n v="0"/>
    <x v="0"/>
  </r>
  <r>
    <x v="1"/>
    <x v="0"/>
    <x v="2"/>
    <x v="13"/>
    <n v="1"/>
    <n v="1100.3522243721989"/>
    <n v="0"/>
    <n v="0"/>
    <x v="0"/>
  </r>
  <r>
    <x v="1"/>
    <x v="0"/>
    <x v="3"/>
    <x v="14"/>
    <n v="2"/>
    <n v="4573.9811160395293"/>
    <n v="0"/>
    <n v="0"/>
    <x v="0"/>
  </r>
  <r>
    <x v="1"/>
    <x v="0"/>
    <x v="4"/>
    <x v="15"/>
    <n v="2"/>
    <n v="468.87407942888069"/>
    <n v="0"/>
    <n v="0"/>
    <x v="1"/>
  </r>
  <r>
    <x v="1"/>
    <x v="0"/>
    <x v="4"/>
    <x v="16"/>
    <n v="3"/>
    <n v="105.42798514501932"/>
    <n v="0"/>
    <n v="0"/>
    <x v="1"/>
  </r>
  <r>
    <x v="1"/>
    <x v="0"/>
    <x v="5"/>
    <x v="17"/>
    <n v="2"/>
    <n v="2403.8954267593981"/>
    <n v="0"/>
    <n v="0"/>
    <x v="0"/>
  </r>
  <r>
    <x v="1"/>
    <x v="1"/>
    <x v="0"/>
    <x v="0"/>
    <n v="255"/>
    <n v="0"/>
    <n v="0"/>
    <n v="0"/>
    <x v="0"/>
  </r>
  <r>
    <x v="1"/>
    <x v="1"/>
    <x v="0"/>
    <x v="1"/>
    <n v="165"/>
    <n v="1267.6535349028204"/>
    <n v="0"/>
    <n v="0"/>
    <x v="0"/>
  </r>
  <r>
    <x v="1"/>
    <x v="1"/>
    <x v="0"/>
    <x v="2"/>
    <n v="75"/>
    <n v="0"/>
    <n v="0"/>
    <n v="0"/>
    <x v="0"/>
  </r>
  <r>
    <x v="1"/>
    <x v="1"/>
    <x v="0"/>
    <x v="3"/>
    <n v="15"/>
    <n v="479.0673983986909"/>
    <n v="0"/>
    <n v="0"/>
    <x v="0"/>
  </r>
  <r>
    <x v="1"/>
    <x v="1"/>
    <x v="1"/>
    <x v="4"/>
    <n v="50"/>
    <n v="64622.160201490449"/>
    <n v="59123.122878686721"/>
    <n v="6206.3199273034661"/>
    <x v="0"/>
  </r>
  <r>
    <x v="1"/>
    <x v="1"/>
    <x v="2"/>
    <x v="5"/>
    <n v="62.5"/>
    <n v="968.34645027298791"/>
    <n v="0"/>
    <n v="0"/>
    <x v="0"/>
  </r>
  <r>
    <x v="1"/>
    <x v="1"/>
    <x v="2"/>
    <x v="6"/>
    <n v="1"/>
    <n v="381.35243841659849"/>
    <n v="0"/>
    <n v="0"/>
    <x v="0"/>
  </r>
  <r>
    <x v="1"/>
    <x v="1"/>
    <x v="2"/>
    <x v="7"/>
    <n v="1"/>
    <n v="123.24409367110755"/>
    <n v="0"/>
    <n v="0"/>
    <x v="0"/>
  </r>
  <r>
    <x v="1"/>
    <x v="1"/>
    <x v="2"/>
    <x v="8"/>
    <n v="2"/>
    <n v="88.031495479362533"/>
    <n v="0"/>
    <n v="0"/>
    <x v="0"/>
  </r>
  <r>
    <x v="1"/>
    <x v="1"/>
    <x v="2"/>
    <x v="9"/>
    <n v="2"/>
    <n v="1529.3535646638693"/>
    <n v="0"/>
    <n v="0"/>
    <x v="0"/>
  </r>
  <r>
    <x v="1"/>
    <x v="1"/>
    <x v="2"/>
    <x v="10"/>
    <n v="1"/>
    <n v="19.683842389185465"/>
    <n v="0"/>
    <n v="0"/>
    <x v="0"/>
  </r>
  <r>
    <x v="1"/>
    <x v="1"/>
    <x v="2"/>
    <x v="11"/>
    <n v="4"/>
    <n v="140.85039276698006"/>
    <n v="0"/>
    <n v="0"/>
    <x v="0"/>
  </r>
  <r>
    <x v="1"/>
    <x v="1"/>
    <x v="2"/>
    <x v="12"/>
    <n v="5"/>
    <n v="21.127558915047008"/>
    <n v="0"/>
    <n v="0"/>
    <x v="0"/>
  </r>
  <r>
    <x v="1"/>
    <x v="1"/>
    <x v="2"/>
    <x v="13"/>
    <n v="1"/>
    <n v="663.68705071801003"/>
    <n v="0"/>
    <n v="0"/>
    <x v="0"/>
  </r>
  <r>
    <x v="1"/>
    <x v="1"/>
    <x v="3"/>
    <x v="14"/>
    <n v="2"/>
    <n v="2758.8366431268387"/>
    <n v="0"/>
    <n v="0"/>
    <x v="0"/>
  </r>
  <r>
    <x v="1"/>
    <x v="1"/>
    <x v="4"/>
    <x v="15"/>
    <n v="2"/>
    <n v="282.80549449683838"/>
    <n v="0"/>
    <n v="0"/>
    <x v="1"/>
  </r>
  <r>
    <x v="1"/>
    <x v="1"/>
    <x v="4"/>
    <x v="16"/>
    <n v="3"/>
    <n v="63.589809675680698"/>
    <n v="0"/>
    <n v="0"/>
    <x v="1"/>
  </r>
  <r>
    <x v="1"/>
    <x v="1"/>
    <x v="5"/>
    <x v="17"/>
    <n v="2"/>
    <n v="1449.9305137777358"/>
    <n v="0"/>
    <n v="0"/>
    <x v="0"/>
  </r>
  <r>
    <x v="1"/>
    <x v="2"/>
    <x v="0"/>
    <x v="0"/>
    <n v="255"/>
    <n v="0"/>
    <n v="0"/>
    <n v="0"/>
    <x v="0"/>
  </r>
  <r>
    <x v="1"/>
    <x v="2"/>
    <x v="0"/>
    <x v="1"/>
    <n v="165"/>
    <n v="4382.9702875440835"/>
    <n v="0"/>
    <n v="0"/>
    <x v="0"/>
  </r>
  <r>
    <x v="1"/>
    <x v="2"/>
    <x v="0"/>
    <x v="2"/>
    <n v="75"/>
    <n v="0"/>
    <n v="0"/>
    <n v="0"/>
    <x v="0"/>
  </r>
  <r>
    <x v="1"/>
    <x v="2"/>
    <x v="0"/>
    <x v="3"/>
    <n v="15"/>
    <n v="1656.3975211677016"/>
    <n v="0"/>
    <n v="0"/>
    <x v="0"/>
  </r>
  <r>
    <x v="1"/>
    <x v="2"/>
    <x v="1"/>
    <x v="4"/>
    <n v="50"/>
    <n v="223434.08532502505"/>
    <n v="315471.73026006698"/>
    <n v="33115.951774593545"/>
    <x v="0"/>
  </r>
  <r>
    <x v="1"/>
    <x v="2"/>
    <x v="2"/>
    <x v="5"/>
    <n v="62.5"/>
    <n v="3348.1023029850635"/>
    <n v="0"/>
    <n v="0"/>
    <x v="0"/>
  </r>
  <r>
    <x v="1"/>
    <x v="2"/>
    <x v="2"/>
    <x v="6"/>
    <n v="1"/>
    <n v="1318.543561502845"/>
    <n v="0"/>
    <n v="0"/>
    <x v="0"/>
  </r>
  <r>
    <x v="1"/>
    <x v="2"/>
    <x v="2"/>
    <x v="7"/>
    <n v="1"/>
    <n v="426.1221112890081"/>
    <n v="0"/>
    <n v="0"/>
    <x v="0"/>
  </r>
  <r>
    <x v="1"/>
    <x v="2"/>
    <x v="2"/>
    <x v="8"/>
    <n v="2"/>
    <n v="304.37293663500577"/>
    <n v="0"/>
    <n v="0"/>
    <x v="0"/>
  </r>
  <r>
    <x v="1"/>
    <x v="2"/>
    <x v="2"/>
    <x v="9"/>
    <n v="2"/>
    <n v="5287.8101535726282"/>
    <n v="0"/>
    <n v="0"/>
    <x v="0"/>
  </r>
  <r>
    <x v="1"/>
    <x v="2"/>
    <x v="2"/>
    <x v="10"/>
    <n v="1"/>
    <n v="68.0577886315873"/>
    <n v="0"/>
    <n v="0"/>
    <x v="0"/>
  </r>
  <r>
    <x v="1"/>
    <x v="2"/>
    <x v="2"/>
    <x v="11"/>
    <n v="4"/>
    <n v="486.99669861600927"/>
    <n v="0"/>
    <n v="0"/>
    <x v="0"/>
  </r>
  <r>
    <x v="1"/>
    <x v="2"/>
    <x v="2"/>
    <x v="12"/>
    <n v="5"/>
    <n v="73.049504792401393"/>
    <n v="0"/>
    <n v="0"/>
    <x v="0"/>
  </r>
  <r>
    <x v="1"/>
    <x v="2"/>
    <x v="2"/>
    <x v="13"/>
    <n v="1"/>
    <n v="2294.7284438786355"/>
    <n v="0"/>
    <n v="0"/>
    <x v="0"/>
  </r>
  <r>
    <x v="1"/>
    <x v="2"/>
    <x v="3"/>
    <x v="14"/>
    <n v="2"/>
    <n v="9538.8043357917741"/>
    <n v="0"/>
    <n v="0"/>
    <x v="0"/>
  </r>
  <r>
    <x v="1"/>
    <x v="2"/>
    <x v="4"/>
    <x v="15"/>
    <n v="2"/>
    <n v="977.81297918194798"/>
    <n v="0"/>
    <n v="0"/>
    <x v="1"/>
  </r>
  <r>
    <x v="1"/>
    <x v="2"/>
    <x v="4"/>
    <x v="16"/>
    <n v="3"/>
    <n v="219.86468599281594"/>
    <n v="0"/>
    <n v="0"/>
    <x v="1"/>
  </r>
  <r>
    <x v="1"/>
    <x v="2"/>
    <x v="5"/>
    <x v="17"/>
    <n v="2"/>
    <n v="5013.2013092824482"/>
    <n v="0"/>
    <n v="0"/>
    <x v="0"/>
  </r>
  <r>
    <x v="1"/>
    <x v="3"/>
    <x v="0"/>
    <x v="0"/>
    <n v="255"/>
    <n v="0"/>
    <n v="0"/>
    <n v="0"/>
    <x v="0"/>
  </r>
  <r>
    <x v="1"/>
    <x v="3"/>
    <x v="0"/>
    <x v="1"/>
    <n v="165"/>
    <n v="5375.1239912801339"/>
    <n v="0"/>
    <n v="0"/>
    <x v="0"/>
  </r>
  <r>
    <x v="1"/>
    <x v="3"/>
    <x v="0"/>
    <x v="2"/>
    <n v="75"/>
    <n v="0"/>
    <n v="0"/>
    <n v="0"/>
    <x v="0"/>
  </r>
  <r>
    <x v="1"/>
    <x v="3"/>
    <x v="0"/>
    <x v="3"/>
    <n v="15"/>
    <n v="2031.3489417046173"/>
    <n v="0"/>
    <n v="0"/>
    <x v="0"/>
  </r>
  <r>
    <x v="1"/>
    <x v="3"/>
    <x v="1"/>
    <x v="4"/>
    <n v="50"/>
    <n v="274011.87635548064"/>
    <n v="316533.50696360756"/>
    <n v="33227.409451263491"/>
    <x v="0"/>
  </r>
  <r>
    <x v="1"/>
    <x v="3"/>
    <x v="2"/>
    <x v="5"/>
    <n v="62.5"/>
    <n v="4105.9974933389913"/>
    <n v="0"/>
    <n v="0"/>
    <x v="0"/>
  </r>
  <r>
    <x v="1"/>
    <x v="3"/>
    <x v="2"/>
    <x v="6"/>
    <n v="1"/>
    <n v="1617.0164673767738"/>
    <n v="0"/>
    <n v="0"/>
    <x v="0"/>
  </r>
  <r>
    <x v="1"/>
    <x v="3"/>
    <x v="2"/>
    <x v="7"/>
    <n v="1"/>
    <n v="522.58149915223521"/>
    <n v="0"/>
    <n v="0"/>
    <x v="0"/>
  </r>
  <r>
    <x v="1"/>
    <x v="3"/>
    <x v="2"/>
    <x v="8"/>
    <n v="2"/>
    <n v="373.27249939445375"/>
    <n v="0"/>
    <n v="0"/>
    <x v="0"/>
  </r>
  <r>
    <x v="1"/>
    <x v="3"/>
    <x v="2"/>
    <x v="9"/>
    <n v="2"/>
    <n v="6484.7884774799659"/>
    <n v="0"/>
    <n v="0"/>
    <x v="0"/>
  </r>
  <r>
    <x v="1"/>
    <x v="3"/>
    <x v="2"/>
    <x v="10"/>
    <n v="1"/>
    <n v="83.463730864599867"/>
    <n v="0"/>
    <n v="0"/>
    <x v="0"/>
  </r>
  <r>
    <x v="1"/>
    <x v="3"/>
    <x v="2"/>
    <x v="11"/>
    <n v="4"/>
    <n v="597.23599903112597"/>
    <n v="0"/>
    <n v="0"/>
    <x v="0"/>
  </r>
  <r>
    <x v="1"/>
    <x v="3"/>
    <x v="2"/>
    <x v="12"/>
    <n v="5"/>
    <n v="89.585399854668893"/>
    <n v="0"/>
    <n v="0"/>
    <x v="0"/>
  </r>
  <r>
    <x v="1"/>
    <x v="3"/>
    <x v="2"/>
    <x v="13"/>
    <n v="1"/>
    <n v="2814.1760274346657"/>
    <n v="0"/>
    <n v="0"/>
    <x v="0"/>
  </r>
  <r>
    <x v="1"/>
    <x v="3"/>
    <x v="3"/>
    <x v="14"/>
    <n v="2"/>
    <n v="11698.061513022665"/>
    <n v="0"/>
    <n v="0"/>
    <x v="0"/>
  </r>
  <r>
    <x v="1"/>
    <x v="3"/>
    <x v="4"/>
    <x v="15"/>
    <n v="2"/>
    <n v="1199.1562019762216"/>
    <n v="0"/>
    <n v="0"/>
    <x v="1"/>
  </r>
  <r>
    <x v="1"/>
    <x v="3"/>
    <x v="4"/>
    <x v="16"/>
    <n v="3"/>
    <n v="269.63448779787598"/>
    <n v="0"/>
    <n v="0"/>
    <x v="1"/>
  </r>
  <r>
    <x v="1"/>
    <x v="3"/>
    <x v="5"/>
    <x v="17"/>
    <n v="2"/>
    <n v="6148.0176370851204"/>
    <n v="0"/>
    <n v="0"/>
    <x v="0"/>
  </r>
  <r>
    <x v="1"/>
    <x v="4"/>
    <x v="0"/>
    <x v="0"/>
    <n v="255"/>
    <n v="0"/>
    <n v="0"/>
    <n v="0"/>
    <x v="0"/>
  </r>
  <r>
    <x v="1"/>
    <x v="4"/>
    <x v="0"/>
    <x v="1"/>
    <n v="165"/>
    <n v="7816.9100383845634"/>
    <n v="0"/>
    <n v="0"/>
    <x v="0"/>
  </r>
  <r>
    <x v="1"/>
    <x v="4"/>
    <x v="0"/>
    <x v="2"/>
    <n v="75"/>
    <n v="0"/>
    <n v="0"/>
    <n v="0"/>
    <x v="0"/>
  </r>
  <r>
    <x v="1"/>
    <x v="4"/>
    <x v="0"/>
    <x v="3"/>
    <n v="15"/>
    <n v="2954.1405853394999"/>
    <n v="0"/>
    <n v="0"/>
    <x v="0"/>
  </r>
  <r>
    <x v="1"/>
    <x v="4"/>
    <x v="1"/>
    <x v="4"/>
    <n v="50"/>
    <n v="398488.70284564863"/>
    <n v="46085.701126421503"/>
    <n v="4837.745222821608"/>
    <x v="0"/>
  </r>
  <r>
    <x v="1"/>
    <x v="4"/>
    <x v="2"/>
    <x v="5"/>
    <n v="62.5"/>
    <n v="5971.2507237659865"/>
    <n v="0"/>
    <n v="0"/>
    <x v="0"/>
  </r>
  <r>
    <x v="1"/>
    <x v="4"/>
    <x v="2"/>
    <x v="6"/>
    <n v="1"/>
    <n v="2351.587103214023"/>
    <n v="0"/>
    <n v="0"/>
    <x v="0"/>
  </r>
  <r>
    <x v="1"/>
    <x v="4"/>
    <x v="2"/>
    <x v="7"/>
    <n v="1"/>
    <n v="759.97736484294364"/>
    <n v="0"/>
    <n v="0"/>
    <x v="0"/>
  </r>
  <r>
    <x v="1"/>
    <x v="4"/>
    <x v="2"/>
    <x v="8"/>
    <n v="2"/>
    <n v="542.84097488781697"/>
    <n v="0"/>
    <n v="0"/>
    <x v="0"/>
  </r>
  <r>
    <x v="1"/>
    <x v="4"/>
    <x v="2"/>
    <x v="9"/>
    <n v="2"/>
    <n v="9430.6676885310662"/>
    <n v="0"/>
    <n v="0"/>
    <x v="0"/>
  </r>
  <r>
    <x v="1"/>
    <x v="4"/>
    <x v="2"/>
    <x v="10"/>
    <n v="1"/>
    <n v="121.37924198491588"/>
    <n v="0"/>
    <n v="0"/>
    <x v="0"/>
  </r>
  <r>
    <x v="1"/>
    <x v="4"/>
    <x v="2"/>
    <x v="11"/>
    <n v="4"/>
    <n v="868.54555982050704"/>
    <n v="0"/>
    <n v="0"/>
    <x v="0"/>
  </r>
  <r>
    <x v="1"/>
    <x v="4"/>
    <x v="2"/>
    <x v="12"/>
    <n v="5"/>
    <n v="130.28183397307606"/>
    <n v="0"/>
    <n v="0"/>
    <x v="0"/>
  </r>
  <r>
    <x v="1"/>
    <x v="4"/>
    <x v="2"/>
    <x v="13"/>
    <n v="1"/>
    <n v="4092.5866778742293"/>
    <n v="0"/>
    <n v="0"/>
    <x v="0"/>
  </r>
  <r>
    <x v="1"/>
    <x v="4"/>
    <x v="3"/>
    <x v="14"/>
    <n v="2"/>
    <n v="17012.201880204273"/>
    <n v="0"/>
    <n v="0"/>
    <x v="0"/>
  </r>
  <r>
    <x v="1"/>
    <x v="4"/>
    <x v="4"/>
    <x v="15"/>
    <n v="2"/>
    <n v="1743.903241678822"/>
    <n v="0"/>
    <n v="0"/>
    <x v="1"/>
  </r>
  <r>
    <x v="1"/>
    <x v="4"/>
    <x v="4"/>
    <x v="16"/>
    <n v="3"/>
    <n v="392.12277480131718"/>
    <n v="0"/>
    <n v="0"/>
    <x v="1"/>
  </r>
  <r>
    <x v="1"/>
    <x v="4"/>
    <x v="5"/>
    <x v="17"/>
    <n v="2"/>
    <n v="8940.9101746228662"/>
    <n v="0"/>
    <n v="0"/>
    <x v="0"/>
  </r>
  <r>
    <x v="1"/>
    <x v="5"/>
    <x v="0"/>
    <x v="0"/>
    <n v="255"/>
    <n v="0"/>
    <n v="0"/>
    <n v="0"/>
    <x v="0"/>
  </r>
  <r>
    <x v="1"/>
    <x v="5"/>
    <x v="0"/>
    <x v="1"/>
    <n v="165"/>
    <n v="6497.1313392449483"/>
    <n v="0"/>
    <n v="0"/>
    <x v="0"/>
  </r>
  <r>
    <x v="1"/>
    <x v="5"/>
    <x v="0"/>
    <x v="2"/>
    <n v="75"/>
    <n v="0"/>
    <n v="0"/>
    <n v="0"/>
    <x v="0"/>
  </r>
  <r>
    <x v="1"/>
    <x v="5"/>
    <x v="0"/>
    <x v="3"/>
    <n v="15"/>
    <n v="2455.374218622987"/>
    <n v="0"/>
    <n v="0"/>
    <x v="0"/>
  </r>
  <r>
    <x v="1"/>
    <x v="5"/>
    <x v="1"/>
    <x v="4"/>
    <n v="50"/>
    <n v="331209.31760506472"/>
    <n v="619028.05262981995"/>
    <n v="64981.109784734843"/>
    <x v="0"/>
  </r>
  <r>
    <x v="1"/>
    <x v="5"/>
    <x v="2"/>
    <x v="5"/>
    <n v="62.5"/>
    <n v="4963.0864397010018"/>
    <n v="0"/>
    <n v="0"/>
    <x v="0"/>
  </r>
  <r>
    <x v="1"/>
    <x v="5"/>
    <x v="2"/>
    <x v="6"/>
    <n v="1"/>
    <n v="1954.5536778895221"/>
    <n v="0"/>
    <n v="0"/>
    <x v="0"/>
  </r>
  <r>
    <x v="1"/>
    <x v="5"/>
    <x v="2"/>
    <x v="7"/>
    <n v="1"/>
    <n v="631.66554687103667"/>
    <n v="0"/>
    <n v="0"/>
    <x v="0"/>
  </r>
  <r>
    <x v="1"/>
    <x v="5"/>
    <x v="2"/>
    <x v="8"/>
    <n v="2"/>
    <n v="451.18967633645474"/>
    <n v="0"/>
    <n v="0"/>
    <x v="0"/>
  </r>
  <r>
    <x v="1"/>
    <x v="5"/>
    <x v="2"/>
    <x v="9"/>
    <n v="2"/>
    <n v="7838.4280090579614"/>
    <n v="0"/>
    <n v="0"/>
    <x v="0"/>
  </r>
  <r>
    <x v="1"/>
    <x v="5"/>
    <x v="2"/>
    <x v="10"/>
    <n v="1"/>
    <n v="100.8860116288313"/>
    <n v="0"/>
    <n v="0"/>
    <x v="0"/>
  </r>
  <r>
    <x v="1"/>
    <x v="5"/>
    <x v="2"/>
    <x v="11"/>
    <n v="4"/>
    <n v="721.9034821383276"/>
    <n v="0"/>
    <n v="0"/>
    <x v="0"/>
  </r>
  <r>
    <x v="1"/>
    <x v="5"/>
    <x v="2"/>
    <x v="12"/>
    <n v="5"/>
    <n v="108.28552232074914"/>
    <n v="0"/>
    <n v="0"/>
    <x v="0"/>
  </r>
  <r>
    <x v="1"/>
    <x v="5"/>
    <x v="2"/>
    <x v="13"/>
    <n v="1"/>
    <n v="3401.6092078357997"/>
    <n v="0"/>
    <n v="0"/>
    <x v="0"/>
  </r>
  <r>
    <x v="1"/>
    <x v="5"/>
    <x v="3"/>
    <x v="14"/>
    <n v="2"/>
    <n v="14139.923504643424"/>
    <n v="0"/>
    <n v="0"/>
    <x v="0"/>
  </r>
  <r>
    <x v="1"/>
    <x v="5"/>
    <x v="4"/>
    <x v="15"/>
    <n v="2"/>
    <n v="1449.4689523718578"/>
    <n v="0"/>
    <n v="0"/>
    <x v="1"/>
  </r>
  <r>
    <x v="1"/>
    <x v="5"/>
    <x v="4"/>
    <x v="16"/>
    <n v="3"/>
    <n v="325.91818973009788"/>
    <n v="0"/>
    <n v="0"/>
    <x v="1"/>
  </r>
  <r>
    <x v="1"/>
    <x v="5"/>
    <x v="5"/>
    <x v="17"/>
    <n v="2"/>
    <n v="7431.359374953372"/>
    <n v="0"/>
    <n v="0"/>
    <x v="0"/>
  </r>
  <r>
    <x v="1"/>
    <x v="6"/>
    <x v="0"/>
    <x v="0"/>
    <n v="255"/>
    <n v="0"/>
    <n v="0"/>
    <n v="0"/>
    <x v="0"/>
  </r>
  <r>
    <x v="1"/>
    <x v="6"/>
    <x v="0"/>
    <x v="1"/>
    <n v="165"/>
    <n v="5244.5557224640597"/>
    <n v="0"/>
    <n v="0"/>
    <x v="0"/>
  </r>
  <r>
    <x v="1"/>
    <x v="6"/>
    <x v="0"/>
    <x v="2"/>
    <n v="75"/>
    <n v="0"/>
    <n v="0"/>
    <n v="0"/>
    <x v="0"/>
  </r>
  <r>
    <x v="1"/>
    <x v="6"/>
    <x v="0"/>
    <x v="3"/>
    <n v="15"/>
    <n v="1982.0050167812094"/>
    <n v="0"/>
    <n v="0"/>
    <x v="0"/>
  </r>
  <r>
    <x v="1"/>
    <x v="6"/>
    <x v="1"/>
    <x v="4"/>
    <n v="100"/>
    <n v="267355.79616294563"/>
    <n v="387966.5175789122"/>
    <n v="40725.932798190137"/>
    <x v="0"/>
  </r>
  <r>
    <x v="1"/>
    <x v="6"/>
    <x v="2"/>
    <x v="5"/>
    <n v="62.5"/>
    <n v="4006.2578435489345"/>
    <n v="0"/>
    <n v="0"/>
    <x v="0"/>
  </r>
  <r>
    <x v="1"/>
    <x v="6"/>
    <x v="2"/>
    <x v="6"/>
    <n v="1"/>
    <n v="1577.7371798412714"/>
    <n v="0"/>
    <n v="0"/>
    <x v="0"/>
  </r>
  <r>
    <x v="1"/>
    <x v="6"/>
    <x v="2"/>
    <x v="7"/>
    <n v="1"/>
    <n v="509.88736190622802"/>
    <n v="0"/>
    <n v="0"/>
    <x v="0"/>
  </r>
  <r>
    <x v="1"/>
    <x v="6"/>
    <x v="2"/>
    <x v="8"/>
    <n v="2"/>
    <n v="364.20525850444858"/>
    <n v="0"/>
    <n v="0"/>
    <x v="0"/>
  </r>
  <r>
    <x v="1"/>
    <x v="6"/>
    <x v="2"/>
    <x v="9"/>
    <n v="2"/>
    <n v="6327.2651149460844"/>
    <n v="0"/>
    <n v="0"/>
    <x v="0"/>
  </r>
  <r>
    <x v="1"/>
    <x v="6"/>
    <x v="2"/>
    <x v="10"/>
    <n v="1"/>
    <n v="81.43629580159471"/>
    <n v="0"/>
    <n v="0"/>
    <x v="0"/>
  </r>
  <r>
    <x v="1"/>
    <x v="6"/>
    <x v="2"/>
    <x v="11"/>
    <n v="4"/>
    <n v="582.72841360711777"/>
    <n v="0"/>
    <n v="0"/>
    <x v="0"/>
  </r>
  <r>
    <x v="1"/>
    <x v="6"/>
    <x v="2"/>
    <x v="12"/>
    <n v="5"/>
    <n v="87.409262041067663"/>
    <n v="0"/>
    <n v="0"/>
    <x v="0"/>
  </r>
  <r>
    <x v="1"/>
    <x v="6"/>
    <x v="2"/>
    <x v="13"/>
    <n v="1"/>
    <n v="2745.8162849167388"/>
    <n v="0"/>
    <n v="0"/>
    <x v="0"/>
  </r>
  <r>
    <x v="1"/>
    <x v="6"/>
    <x v="3"/>
    <x v="14"/>
    <n v="2"/>
    <n v="11413.901437322616"/>
    <n v="0"/>
    <n v="0"/>
    <x v="0"/>
  </r>
  <r>
    <x v="1"/>
    <x v="6"/>
    <x v="4"/>
    <x v="15"/>
    <n v="2"/>
    <n v="1170.0272461444874"/>
    <n v="0"/>
    <n v="0"/>
    <x v="1"/>
  </r>
  <r>
    <x v="1"/>
    <x v="6"/>
    <x v="4"/>
    <x v="16"/>
    <n v="3"/>
    <n v="263.08473967262523"/>
    <n v="0"/>
    <n v="0"/>
    <x v="1"/>
  </r>
  <r>
    <x v="1"/>
    <x v="6"/>
    <x v="5"/>
    <x v="17"/>
    <n v="2"/>
    <n v="5998.6748459556238"/>
    <n v="0"/>
    <n v="0"/>
    <x v="0"/>
  </r>
  <r>
    <x v="1"/>
    <x v="7"/>
    <x v="0"/>
    <x v="0"/>
    <n v="255"/>
    <n v="0"/>
    <n v="0"/>
    <n v="0"/>
    <x v="0"/>
  </r>
  <r>
    <x v="1"/>
    <x v="7"/>
    <x v="0"/>
    <x v="1"/>
    <n v="165"/>
    <n v="4033.9636559268893"/>
    <n v="0"/>
    <n v="0"/>
    <x v="0"/>
  </r>
  <r>
    <x v="1"/>
    <x v="7"/>
    <x v="0"/>
    <x v="2"/>
    <n v="75"/>
    <n v="0"/>
    <n v="0"/>
    <n v="0"/>
    <x v="0"/>
  </r>
  <r>
    <x v="1"/>
    <x v="7"/>
    <x v="0"/>
    <x v="3"/>
    <n v="15"/>
    <n v="1524.5020983023703"/>
    <n v="0"/>
    <n v="0"/>
    <x v="0"/>
  </r>
  <r>
    <x v="1"/>
    <x v="7"/>
    <x v="1"/>
    <x v="4"/>
    <n v="100"/>
    <n v="205642.50281547298"/>
    <n v="525910.72074121516"/>
    <n v="55206.322453839108"/>
    <x v="0"/>
  </r>
  <r>
    <x v="1"/>
    <x v="7"/>
    <x v="2"/>
    <x v="5"/>
    <n v="62.5"/>
    <n v="3081.5000149441512"/>
    <n v="0"/>
    <n v="0"/>
    <x v="0"/>
  </r>
  <r>
    <x v="1"/>
    <x v="7"/>
    <x v="2"/>
    <x v="6"/>
    <n v="1"/>
    <n v="1213.5507331580059"/>
    <n v="0"/>
    <n v="0"/>
    <x v="0"/>
  </r>
  <r>
    <x v="1"/>
    <x v="7"/>
    <x v="2"/>
    <x v="7"/>
    <n v="1"/>
    <n v="392.19091099289199"/>
    <n v="0"/>
    <n v="0"/>
    <x v="0"/>
  </r>
  <r>
    <x v="1"/>
    <x v="7"/>
    <x v="2"/>
    <x v="8"/>
    <n v="2"/>
    <n v="280.13636499492287"/>
    <n v="0"/>
    <n v="0"/>
    <x v="0"/>
  </r>
  <r>
    <x v="1"/>
    <x v="7"/>
    <x v="2"/>
    <x v="9"/>
    <n v="2"/>
    <n v="4866.7530417837961"/>
    <n v="0"/>
    <n v="0"/>
    <x v="0"/>
  </r>
  <r>
    <x v="1"/>
    <x v="7"/>
    <x v="2"/>
    <x v="10"/>
    <n v="1"/>
    <n v="62.638491212864757"/>
    <n v="0"/>
    <n v="0"/>
    <x v="0"/>
  </r>
  <r>
    <x v="1"/>
    <x v="7"/>
    <x v="2"/>
    <x v="11"/>
    <n v="4"/>
    <n v="448.21818399187657"/>
    <n v="0"/>
    <n v="0"/>
    <x v="0"/>
  </r>
  <r>
    <x v="1"/>
    <x v="7"/>
    <x v="2"/>
    <x v="12"/>
    <n v="5"/>
    <n v="67.23272759878148"/>
    <n v="0"/>
    <n v="0"/>
    <x v="0"/>
  </r>
  <r>
    <x v="1"/>
    <x v="7"/>
    <x v="2"/>
    <x v="13"/>
    <n v="1"/>
    <n v="2112.0040829697223"/>
    <n v="0"/>
    <n v="0"/>
    <x v="0"/>
  </r>
  <r>
    <x v="1"/>
    <x v="7"/>
    <x v="3"/>
    <x v="14"/>
    <n v="2"/>
    <n v="8779.2495698488874"/>
    <n v="0"/>
    <n v="0"/>
    <x v="0"/>
  </r>
  <r>
    <x v="1"/>
    <x v="7"/>
    <x v="4"/>
    <x v="15"/>
    <n v="2"/>
    <n v="899.95180472094432"/>
    <n v="0"/>
    <n v="0"/>
    <x v="1"/>
  </r>
  <r>
    <x v="1"/>
    <x v="7"/>
    <x v="4"/>
    <x v="16"/>
    <n v="3"/>
    <n v="202.35732718456779"/>
    <n v="0"/>
    <n v="0"/>
    <x v="1"/>
  </r>
  <r>
    <x v="1"/>
    <x v="7"/>
    <x v="5"/>
    <x v="17"/>
    <n v="2"/>
    <n v="4614.0107175634348"/>
    <n v="0"/>
    <n v="0"/>
    <x v="0"/>
  </r>
  <r>
    <x v="2"/>
    <x v="0"/>
    <x v="0"/>
    <x v="0"/>
    <n v="255"/>
    <n v="0"/>
    <n v="0"/>
    <n v="0"/>
    <x v="0"/>
  </r>
  <r>
    <x v="2"/>
    <x v="0"/>
    <x v="0"/>
    <x v="1"/>
    <n v="165"/>
    <n v="2248.8098303701777"/>
    <n v="0"/>
    <n v="0"/>
    <x v="0"/>
  </r>
  <r>
    <x v="2"/>
    <x v="0"/>
    <x v="0"/>
    <x v="2"/>
    <n v="75"/>
    <n v="0"/>
    <n v="0"/>
    <n v="0"/>
    <x v="0"/>
  </r>
  <r>
    <x v="2"/>
    <x v="0"/>
    <x v="0"/>
    <x v="3"/>
    <n v="15"/>
    <n v="849.86271506072967"/>
    <n v="0"/>
    <n v="0"/>
    <x v="0"/>
  </r>
  <r>
    <x v="2"/>
    <x v="0"/>
    <x v="1"/>
    <x v="4"/>
    <n v="50"/>
    <n v="114639.32779709305"/>
    <n v="160294.20521233339"/>
    <n v="14191.000908869033"/>
    <x v="0"/>
  </r>
  <r>
    <x v="2"/>
    <x v="0"/>
    <x v="2"/>
    <x v="5"/>
    <n v="62.5"/>
    <n v="1717.8408426438855"/>
    <n v="0"/>
    <n v="0"/>
    <x v="0"/>
  </r>
  <r>
    <x v="2"/>
    <x v="0"/>
    <x v="2"/>
    <x v="6"/>
    <n v="1"/>
    <n v="676.51695730302845"/>
    <n v="0"/>
    <n v="0"/>
    <x v="0"/>
  </r>
  <r>
    <x v="2"/>
    <x v="0"/>
    <x v="2"/>
    <x v="7"/>
    <n v="1"/>
    <n v="218.63428906376726"/>
    <n v="0"/>
    <n v="0"/>
    <x v="0"/>
  </r>
  <r>
    <x v="2"/>
    <x v="0"/>
    <x v="2"/>
    <x v="8"/>
    <n v="2"/>
    <n v="156.16734933126233"/>
    <n v="0"/>
    <n v="0"/>
    <x v="0"/>
  </r>
  <r>
    <x v="2"/>
    <x v="0"/>
    <x v="2"/>
    <x v="9"/>
    <n v="2"/>
    <n v="2713.0641264621545"/>
    <n v="0"/>
    <n v="0"/>
    <x v="0"/>
  </r>
  <r>
    <x v="2"/>
    <x v="0"/>
    <x v="2"/>
    <x v="10"/>
    <n v="1"/>
    <n v="34.919019310470262"/>
    <n v="0"/>
    <n v="0"/>
    <x v="0"/>
  </r>
  <r>
    <x v="2"/>
    <x v="0"/>
    <x v="2"/>
    <x v="11"/>
    <n v="4"/>
    <n v="249.86775893001973"/>
    <n v="0"/>
    <n v="0"/>
    <x v="0"/>
  </r>
  <r>
    <x v="2"/>
    <x v="0"/>
    <x v="2"/>
    <x v="12"/>
    <n v="5"/>
    <n v="37.480163839502957"/>
    <n v="0"/>
    <n v="0"/>
    <x v="0"/>
  </r>
  <r>
    <x v="2"/>
    <x v="0"/>
    <x v="2"/>
    <x v="13"/>
    <n v="1"/>
    <n v="1177.376880078253"/>
    <n v="0"/>
    <n v="0"/>
    <x v="0"/>
  </r>
  <r>
    <x v="2"/>
    <x v="0"/>
    <x v="3"/>
    <x v="14"/>
    <n v="2"/>
    <n v="4894.1597941622967"/>
    <n v="0"/>
    <n v="0"/>
    <x v="0"/>
  </r>
  <r>
    <x v="2"/>
    <x v="0"/>
    <x v="4"/>
    <x v="15"/>
    <n v="2"/>
    <n v="468.87407942888069"/>
    <n v="0"/>
    <n v="0"/>
    <x v="1"/>
  </r>
  <r>
    <x v="2"/>
    <x v="0"/>
    <x v="4"/>
    <x v="16"/>
    <n v="3"/>
    <n v="105.42798514501932"/>
    <n v="0"/>
    <n v="0"/>
    <x v="1"/>
  </r>
  <r>
    <x v="2"/>
    <x v="0"/>
    <x v="5"/>
    <x v="17"/>
    <n v="2"/>
    <n v="2524.0901980973681"/>
    <n v="0"/>
    <n v="0"/>
    <x v="0"/>
  </r>
  <r>
    <x v="2"/>
    <x v="1"/>
    <x v="0"/>
    <x v="0"/>
    <n v="255"/>
    <n v="0"/>
    <n v="0"/>
    <n v="0"/>
    <x v="0"/>
  </r>
  <r>
    <x v="2"/>
    <x v="1"/>
    <x v="0"/>
    <x v="1"/>
    <n v="165"/>
    <n v="1356.389282346018"/>
    <n v="0"/>
    <n v="0"/>
    <x v="0"/>
  </r>
  <r>
    <x v="2"/>
    <x v="1"/>
    <x v="0"/>
    <x v="2"/>
    <n v="75"/>
    <n v="0"/>
    <n v="0"/>
    <n v="0"/>
    <x v="0"/>
  </r>
  <r>
    <x v="2"/>
    <x v="1"/>
    <x v="0"/>
    <x v="3"/>
    <n v="15"/>
    <n v="512.60211628659931"/>
    <n v="0"/>
    <n v="0"/>
    <x v="0"/>
  </r>
  <r>
    <x v="2"/>
    <x v="1"/>
    <x v="1"/>
    <x v="4"/>
    <n v="50"/>
    <n v="69145.711415594778"/>
    <n v="62079.279022621056"/>
    <n v="5495.9385703617818"/>
    <x v="0"/>
  </r>
  <r>
    <x v="2"/>
    <x v="1"/>
    <x v="2"/>
    <x v="5"/>
    <n v="62.5"/>
    <n v="1036.1307017920969"/>
    <n v="0"/>
    <n v="0"/>
    <x v="0"/>
  </r>
  <r>
    <x v="2"/>
    <x v="1"/>
    <x v="2"/>
    <x v="6"/>
    <n v="1"/>
    <n v="408.0471091057604"/>
    <n v="0"/>
    <n v="0"/>
    <x v="0"/>
  </r>
  <r>
    <x v="2"/>
    <x v="1"/>
    <x v="2"/>
    <x v="7"/>
    <n v="1"/>
    <n v="131.87118022808508"/>
    <n v="0"/>
    <n v="0"/>
    <x v="0"/>
  </r>
  <r>
    <x v="2"/>
    <x v="1"/>
    <x v="2"/>
    <x v="8"/>
    <n v="2"/>
    <n v="94.193700162917906"/>
    <n v="0"/>
    <n v="0"/>
    <x v="0"/>
  </r>
  <r>
    <x v="2"/>
    <x v="1"/>
    <x v="2"/>
    <x v="9"/>
    <n v="2"/>
    <n v="1636.4083141903404"/>
    <n v="0"/>
    <n v="0"/>
    <x v="0"/>
  </r>
  <r>
    <x v="2"/>
    <x v="1"/>
    <x v="2"/>
    <x v="10"/>
    <n v="1"/>
    <n v="21.061711356428447"/>
    <n v="0"/>
    <n v="0"/>
    <x v="0"/>
  </r>
  <r>
    <x v="2"/>
    <x v="1"/>
    <x v="2"/>
    <x v="11"/>
    <n v="4"/>
    <n v="150.70992026066867"/>
    <n v="0"/>
    <n v="0"/>
    <x v="0"/>
  </r>
  <r>
    <x v="2"/>
    <x v="1"/>
    <x v="2"/>
    <x v="12"/>
    <n v="5"/>
    <n v="22.606488039100299"/>
    <n v="0"/>
    <n v="0"/>
    <x v="0"/>
  </r>
  <r>
    <x v="2"/>
    <x v="1"/>
    <x v="2"/>
    <x v="13"/>
    <n v="1"/>
    <n v="710.14514426827077"/>
    <n v="0"/>
    <n v="0"/>
    <x v="0"/>
  </r>
  <r>
    <x v="2"/>
    <x v="1"/>
    <x v="3"/>
    <x v="14"/>
    <n v="2"/>
    <n v="2951.9552081457173"/>
    <n v="0"/>
    <n v="0"/>
    <x v="0"/>
  </r>
  <r>
    <x v="2"/>
    <x v="1"/>
    <x v="4"/>
    <x v="15"/>
    <n v="2"/>
    <n v="282.80549449683838"/>
    <n v="0"/>
    <n v="0"/>
    <x v="1"/>
  </r>
  <r>
    <x v="2"/>
    <x v="1"/>
    <x v="4"/>
    <x v="16"/>
    <n v="3"/>
    <n v="63.589809675680698"/>
    <n v="0"/>
    <n v="0"/>
    <x v="1"/>
  </r>
  <r>
    <x v="2"/>
    <x v="1"/>
    <x v="5"/>
    <x v="17"/>
    <n v="2"/>
    <n v="1522.4270394666225"/>
    <n v="0"/>
    <n v="0"/>
    <x v="0"/>
  </r>
  <r>
    <x v="2"/>
    <x v="2"/>
    <x v="0"/>
    <x v="0"/>
    <n v="255"/>
    <n v="0"/>
    <n v="0"/>
    <n v="0"/>
    <x v="0"/>
  </r>
  <r>
    <x v="2"/>
    <x v="2"/>
    <x v="0"/>
    <x v="1"/>
    <n v="165"/>
    <n v="4689.7782076721696"/>
    <n v="0"/>
    <n v="0"/>
    <x v="0"/>
  </r>
  <r>
    <x v="2"/>
    <x v="2"/>
    <x v="0"/>
    <x v="2"/>
    <n v="75"/>
    <n v="0"/>
    <n v="0"/>
    <n v="0"/>
    <x v="0"/>
  </r>
  <r>
    <x v="2"/>
    <x v="2"/>
    <x v="0"/>
    <x v="3"/>
    <n v="15"/>
    <n v="1772.3453476494408"/>
    <n v="0"/>
    <n v="0"/>
    <x v="0"/>
  </r>
  <r>
    <x v="2"/>
    <x v="2"/>
    <x v="1"/>
    <x v="4"/>
    <n v="50"/>
    <n v="239074.47129777679"/>
    <n v="331245.31677307031"/>
    <n v="29325.468036467541"/>
    <x v="0"/>
  </r>
  <r>
    <x v="2"/>
    <x v="2"/>
    <x v="2"/>
    <x v="5"/>
    <n v="62.5"/>
    <n v="3582.4694641940182"/>
    <n v="0"/>
    <n v="0"/>
    <x v="0"/>
  </r>
  <r>
    <x v="2"/>
    <x v="2"/>
    <x v="2"/>
    <x v="6"/>
    <n v="1"/>
    <n v="1410.8416108080444"/>
    <n v="0"/>
    <n v="0"/>
    <x v="0"/>
  </r>
  <r>
    <x v="2"/>
    <x v="2"/>
    <x v="2"/>
    <x v="7"/>
    <n v="1"/>
    <n v="455.95065907923868"/>
    <n v="0"/>
    <n v="0"/>
    <x v="0"/>
  </r>
  <r>
    <x v="2"/>
    <x v="2"/>
    <x v="2"/>
    <x v="8"/>
    <n v="2"/>
    <n v="325.67904219945621"/>
    <n v="0"/>
    <n v="0"/>
    <x v="0"/>
  </r>
  <r>
    <x v="2"/>
    <x v="2"/>
    <x v="2"/>
    <x v="9"/>
    <n v="2"/>
    <n v="5657.956864322713"/>
    <n v="0"/>
    <n v="0"/>
    <x v="0"/>
  </r>
  <r>
    <x v="2"/>
    <x v="2"/>
    <x v="2"/>
    <x v="10"/>
    <n v="1"/>
    <n v="72.821833835798415"/>
    <n v="0"/>
    <n v="0"/>
    <x v="0"/>
  </r>
  <r>
    <x v="2"/>
    <x v="2"/>
    <x v="2"/>
    <x v="11"/>
    <n v="4"/>
    <n v="521.08646751912988"/>
    <n v="0"/>
    <n v="0"/>
    <x v="0"/>
  </r>
  <r>
    <x v="2"/>
    <x v="2"/>
    <x v="2"/>
    <x v="12"/>
    <n v="5"/>
    <n v="78.162970127869485"/>
    <n v="0"/>
    <n v="0"/>
    <x v="0"/>
  </r>
  <r>
    <x v="2"/>
    <x v="2"/>
    <x v="2"/>
    <x v="13"/>
    <n v="1"/>
    <n v="2455.35943495014"/>
    <n v="0"/>
    <n v="0"/>
    <x v="0"/>
  </r>
  <r>
    <x v="2"/>
    <x v="2"/>
    <x v="3"/>
    <x v="14"/>
    <n v="2"/>
    <n v="10206.520639297198"/>
    <n v="0"/>
    <n v="0"/>
    <x v="0"/>
  </r>
  <r>
    <x v="2"/>
    <x v="2"/>
    <x v="4"/>
    <x v="15"/>
    <n v="2"/>
    <n v="977.81297918194798"/>
    <n v="0"/>
    <n v="0"/>
    <x v="1"/>
  </r>
  <r>
    <x v="2"/>
    <x v="2"/>
    <x v="4"/>
    <x v="16"/>
    <n v="3"/>
    <n v="219.86468599281594"/>
    <n v="0"/>
    <n v="0"/>
    <x v="1"/>
  </r>
  <r>
    <x v="2"/>
    <x v="2"/>
    <x v="5"/>
    <x v="17"/>
    <n v="2"/>
    <n v="5263.8613747465706"/>
    <n v="0"/>
    <n v="0"/>
    <x v="0"/>
  </r>
  <r>
    <x v="2"/>
    <x v="3"/>
    <x v="0"/>
    <x v="0"/>
    <n v="255"/>
    <n v="0"/>
    <n v="0"/>
    <n v="0"/>
    <x v="0"/>
  </r>
  <r>
    <x v="2"/>
    <x v="3"/>
    <x v="0"/>
    <x v="1"/>
    <n v="165"/>
    <n v="5751.3826706697437"/>
    <n v="0"/>
    <n v="0"/>
    <x v="0"/>
  </r>
  <r>
    <x v="2"/>
    <x v="3"/>
    <x v="0"/>
    <x v="2"/>
    <n v="75"/>
    <n v="0"/>
    <n v="0"/>
    <n v="0"/>
    <x v="0"/>
  </r>
  <r>
    <x v="2"/>
    <x v="3"/>
    <x v="0"/>
    <x v="3"/>
    <n v="15"/>
    <n v="2173.5433676239409"/>
    <n v="0"/>
    <n v="0"/>
    <x v="0"/>
  </r>
  <r>
    <x v="2"/>
    <x v="3"/>
    <x v="1"/>
    <x v="4"/>
    <n v="50"/>
    <n v="293192.70770036423"/>
    <n v="332360.18231178791"/>
    <n v="29424.168160107387"/>
    <x v="0"/>
  </r>
  <r>
    <x v="2"/>
    <x v="3"/>
    <x v="2"/>
    <x v="5"/>
    <n v="62.5"/>
    <n v="4393.4173178727206"/>
    <n v="0"/>
    <n v="0"/>
    <x v="0"/>
  </r>
  <r>
    <x v="2"/>
    <x v="3"/>
    <x v="2"/>
    <x v="6"/>
    <n v="1"/>
    <n v="1730.2076200931479"/>
    <n v="0"/>
    <n v="0"/>
    <x v="0"/>
  </r>
  <r>
    <x v="2"/>
    <x v="3"/>
    <x v="2"/>
    <x v="7"/>
    <n v="1"/>
    <n v="559.16220409289178"/>
    <n v="0"/>
    <n v="0"/>
    <x v="0"/>
  </r>
  <r>
    <x v="2"/>
    <x v="3"/>
    <x v="2"/>
    <x v="8"/>
    <n v="2"/>
    <n v="399.4015743520655"/>
    <n v="0"/>
    <n v="0"/>
    <x v="0"/>
  </r>
  <r>
    <x v="2"/>
    <x v="3"/>
    <x v="2"/>
    <x v="9"/>
    <n v="2"/>
    <n v="6938.7236709035642"/>
    <n v="0"/>
    <n v="0"/>
    <x v="0"/>
  </r>
  <r>
    <x v="2"/>
    <x v="3"/>
    <x v="2"/>
    <x v="10"/>
    <n v="1"/>
    <n v="89.30619202512186"/>
    <n v="0"/>
    <n v="0"/>
    <x v="0"/>
  </r>
  <r>
    <x v="2"/>
    <x v="3"/>
    <x v="2"/>
    <x v="11"/>
    <n v="4"/>
    <n v="639.04251896330481"/>
    <n v="0"/>
    <n v="0"/>
    <x v="0"/>
  </r>
  <r>
    <x v="2"/>
    <x v="3"/>
    <x v="2"/>
    <x v="12"/>
    <n v="5"/>
    <n v="95.856377844495725"/>
    <n v="0"/>
    <n v="0"/>
    <x v="0"/>
  </r>
  <r>
    <x v="2"/>
    <x v="3"/>
    <x v="2"/>
    <x v="13"/>
    <n v="1"/>
    <n v="3011.1683493550922"/>
    <n v="0"/>
    <n v="0"/>
    <x v="0"/>
  </r>
  <r>
    <x v="2"/>
    <x v="3"/>
    <x v="3"/>
    <x v="14"/>
    <n v="2"/>
    <n v="12516.925818934253"/>
    <n v="0"/>
    <n v="0"/>
    <x v="0"/>
  </r>
  <r>
    <x v="2"/>
    <x v="3"/>
    <x v="4"/>
    <x v="15"/>
    <n v="2"/>
    <n v="1199.1562019762216"/>
    <n v="0"/>
    <n v="0"/>
    <x v="1"/>
  </r>
  <r>
    <x v="2"/>
    <x v="3"/>
    <x v="4"/>
    <x v="16"/>
    <n v="3"/>
    <n v="269.63448779787598"/>
    <n v="0"/>
    <n v="0"/>
    <x v="1"/>
  </r>
  <r>
    <x v="2"/>
    <x v="3"/>
    <x v="5"/>
    <x v="17"/>
    <n v="2"/>
    <n v="6455.4185189393766"/>
    <n v="0"/>
    <n v="0"/>
    <x v="0"/>
  </r>
  <r>
    <x v="2"/>
    <x v="4"/>
    <x v="0"/>
    <x v="0"/>
    <n v="255"/>
    <n v="0"/>
    <n v="0"/>
    <n v="0"/>
    <x v="0"/>
  </r>
  <r>
    <x v="2"/>
    <x v="4"/>
    <x v="0"/>
    <x v="1"/>
    <n v="165"/>
    <n v="8364.0937410714832"/>
    <n v="0"/>
    <n v="0"/>
    <x v="0"/>
  </r>
  <r>
    <x v="2"/>
    <x v="4"/>
    <x v="0"/>
    <x v="2"/>
    <n v="75"/>
    <n v="0"/>
    <n v="0"/>
    <n v="0"/>
    <x v="0"/>
  </r>
  <r>
    <x v="2"/>
    <x v="4"/>
    <x v="0"/>
    <x v="3"/>
    <n v="15"/>
    <n v="3160.9304263132649"/>
    <n v="0"/>
    <n v="0"/>
    <x v="0"/>
  </r>
  <r>
    <x v="2"/>
    <x v="4"/>
    <x v="1"/>
    <x v="4"/>
    <n v="50"/>
    <n v="426382.91204484407"/>
    <n v="48389.986182742578"/>
    <n v="4284.0122447958802"/>
    <x v="0"/>
  </r>
  <r>
    <x v="2"/>
    <x v="4"/>
    <x v="2"/>
    <x v="5"/>
    <n v="62.5"/>
    <n v="6389.2382744296056"/>
    <n v="0"/>
    <n v="0"/>
    <x v="0"/>
  </r>
  <r>
    <x v="2"/>
    <x v="4"/>
    <x v="2"/>
    <x v="6"/>
    <n v="1"/>
    <n v="2516.1982004390047"/>
    <n v="0"/>
    <n v="0"/>
    <x v="0"/>
  </r>
  <r>
    <x v="2"/>
    <x v="4"/>
    <x v="2"/>
    <x v="7"/>
    <n v="1"/>
    <n v="813.17578038194972"/>
    <n v="0"/>
    <n v="0"/>
    <x v="0"/>
  </r>
  <r>
    <x v="2"/>
    <x v="4"/>
    <x v="2"/>
    <x v="8"/>
    <n v="2"/>
    <n v="580.83984312996415"/>
    <n v="0"/>
    <n v="0"/>
    <x v="0"/>
  </r>
  <r>
    <x v="2"/>
    <x v="4"/>
    <x v="2"/>
    <x v="9"/>
    <n v="2"/>
    <n v="10090.814426728241"/>
    <n v="0"/>
    <n v="0"/>
    <x v="0"/>
  </r>
  <r>
    <x v="2"/>
    <x v="4"/>
    <x v="2"/>
    <x v="10"/>
    <n v="1"/>
    <n v="129.87578892386"/>
    <n v="0"/>
    <n v="0"/>
    <x v="0"/>
  </r>
  <r>
    <x v="2"/>
    <x v="4"/>
    <x v="2"/>
    <x v="11"/>
    <n v="4"/>
    <n v="929.34374900794262"/>
    <n v="0"/>
    <n v="0"/>
    <x v="0"/>
  </r>
  <r>
    <x v="2"/>
    <x v="4"/>
    <x v="2"/>
    <x v="12"/>
    <n v="5"/>
    <n v="139.40156235119139"/>
    <n v="0"/>
    <n v="0"/>
    <x v="0"/>
  </r>
  <r>
    <x v="2"/>
    <x v="4"/>
    <x v="2"/>
    <x v="13"/>
    <n v="1"/>
    <n v="4379.0677453254257"/>
    <n v="0"/>
    <n v="0"/>
    <x v="0"/>
  </r>
  <r>
    <x v="2"/>
    <x v="4"/>
    <x v="3"/>
    <x v="14"/>
    <n v="2"/>
    <n v="18203.056011818571"/>
    <n v="0"/>
    <n v="0"/>
    <x v="0"/>
  </r>
  <r>
    <x v="2"/>
    <x v="4"/>
    <x v="4"/>
    <x v="15"/>
    <n v="2"/>
    <n v="1743.903241678822"/>
    <n v="0"/>
    <n v="0"/>
    <x v="1"/>
  </r>
  <r>
    <x v="2"/>
    <x v="4"/>
    <x v="4"/>
    <x v="16"/>
    <n v="3"/>
    <n v="392.12277480131718"/>
    <n v="0"/>
    <n v="0"/>
    <x v="1"/>
  </r>
  <r>
    <x v="2"/>
    <x v="4"/>
    <x v="5"/>
    <x v="17"/>
    <n v="2"/>
    <n v="9387.95568335401"/>
    <n v="0"/>
    <n v="0"/>
    <x v="0"/>
  </r>
  <r>
    <x v="2"/>
    <x v="5"/>
    <x v="0"/>
    <x v="0"/>
    <n v="255"/>
    <n v="0"/>
    <n v="0"/>
    <n v="0"/>
    <x v="0"/>
  </r>
  <r>
    <x v="2"/>
    <x v="5"/>
    <x v="0"/>
    <x v="1"/>
    <n v="165"/>
    <n v="6951.9305329920953"/>
    <n v="0"/>
    <n v="0"/>
    <x v="0"/>
  </r>
  <r>
    <x v="2"/>
    <x v="5"/>
    <x v="0"/>
    <x v="2"/>
    <n v="75"/>
    <n v="0"/>
    <n v="0"/>
    <n v="0"/>
    <x v="0"/>
  </r>
  <r>
    <x v="2"/>
    <x v="5"/>
    <x v="0"/>
    <x v="3"/>
    <n v="15"/>
    <n v="2627.2504139265961"/>
    <n v="0"/>
    <n v="0"/>
    <x v="0"/>
  </r>
  <r>
    <x v="2"/>
    <x v="5"/>
    <x v="1"/>
    <x v="4"/>
    <n v="50"/>
    <n v="354393.96983741922"/>
    <n v="649979.45526131091"/>
    <n v="57543.30936755384"/>
    <x v="0"/>
  </r>
  <r>
    <x v="2"/>
    <x v="5"/>
    <x v="2"/>
    <x v="5"/>
    <n v="62.5"/>
    <n v="5310.5024904800721"/>
    <n v="0"/>
    <n v="0"/>
    <x v="0"/>
  </r>
  <r>
    <x v="2"/>
    <x v="5"/>
    <x v="2"/>
    <x v="6"/>
    <n v="1"/>
    <n v="2091.3724353417888"/>
    <n v="0"/>
    <n v="0"/>
    <x v="0"/>
  </r>
  <r>
    <x v="2"/>
    <x v="5"/>
    <x v="2"/>
    <x v="7"/>
    <n v="1"/>
    <n v="675.88213515200925"/>
    <n v="0"/>
    <n v="0"/>
    <x v="0"/>
  </r>
  <r>
    <x v="2"/>
    <x v="5"/>
    <x v="2"/>
    <x v="8"/>
    <n v="2"/>
    <n v="482.77295368000659"/>
    <n v="0"/>
    <n v="0"/>
    <x v="0"/>
  </r>
  <r>
    <x v="2"/>
    <x v="5"/>
    <x v="2"/>
    <x v="9"/>
    <n v="2"/>
    <n v="8387.117969692019"/>
    <n v="0"/>
    <n v="0"/>
    <x v="0"/>
  </r>
  <r>
    <x v="2"/>
    <x v="5"/>
    <x v="2"/>
    <x v="10"/>
    <n v="1"/>
    <n v="107.94803244284948"/>
    <n v="0"/>
    <n v="0"/>
    <x v="0"/>
  </r>
  <r>
    <x v="2"/>
    <x v="5"/>
    <x v="2"/>
    <x v="11"/>
    <n v="4"/>
    <n v="772.43672588801064"/>
    <n v="0"/>
    <n v="0"/>
    <x v="0"/>
  </r>
  <r>
    <x v="2"/>
    <x v="5"/>
    <x v="2"/>
    <x v="12"/>
    <n v="5"/>
    <n v="115.86550888320158"/>
    <n v="0"/>
    <n v="0"/>
    <x v="0"/>
  </r>
  <r>
    <x v="2"/>
    <x v="5"/>
    <x v="2"/>
    <x v="13"/>
    <n v="1"/>
    <n v="3639.7218523843057"/>
    <n v="0"/>
    <n v="0"/>
    <x v="0"/>
  </r>
  <r>
    <x v="2"/>
    <x v="5"/>
    <x v="3"/>
    <x v="14"/>
    <n v="2"/>
    <n v="15129.718149968463"/>
    <n v="0"/>
    <n v="0"/>
    <x v="0"/>
  </r>
  <r>
    <x v="2"/>
    <x v="5"/>
    <x v="4"/>
    <x v="15"/>
    <n v="2"/>
    <n v="1449.4689523718578"/>
    <n v="0"/>
    <n v="0"/>
    <x v="1"/>
  </r>
  <r>
    <x v="2"/>
    <x v="5"/>
    <x v="4"/>
    <x v="16"/>
    <n v="3"/>
    <n v="325.91818973009788"/>
    <n v="0"/>
    <n v="0"/>
    <x v="1"/>
  </r>
  <r>
    <x v="2"/>
    <x v="5"/>
    <x v="5"/>
    <x v="17"/>
    <n v="2"/>
    <n v="7802.9273437010406"/>
    <n v="0"/>
    <n v="0"/>
    <x v="0"/>
  </r>
  <r>
    <x v="2"/>
    <x v="6"/>
    <x v="0"/>
    <x v="0"/>
    <n v="255"/>
    <n v="0"/>
    <n v="0"/>
    <n v="0"/>
    <x v="0"/>
  </r>
  <r>
    <x v="2"/>
    <x v="6"/>
    <x v="0"/>
    <x v="1"/>
    <n v="165"/>
    <n v="5611.6746230365443"/>
    <n v="0"/>
    <n v="0"/>
    <x v="0"/>
  </r>
  <r>
    <x v="2"/>
    <x v="6"/>
    <x v="0"/>
    <x v="2"/>
    <n v="75"/>
    <n v="0"/>
    <n v="0"/>
    <n v="0"/>
    <x v="0"/>
  </r>
  <r>
    <x v="2"/>
    <x v="6"/>
    <x v="0"/>
    <x v="3"/>
    <n v="15"/>
    <n v="2120.7453679558939"/>
    <n v="0"/>
    <n v="0"/>
    <x v="0"/>
  </r>
  <r>
    <x v="2"/>
    <x v="6"/>
    <x v="1"/>
    <x v="4"/>
    <n v="100"/>
    <n v="286070.70189435181"/>
    <n v="407364.84345785779"/>
    <n v="36064.403302003797"/>
    <x v="0"/>
  </r>
  <r>
    <x v="2"/>
    <x v="6"/>
    <x v="2"/>
    <x v="5"/>
    <n v="62.5"/>
    <n v="4286.6958925973604"/>
    <n v="0"/>
    <n v="0"/>
    <x v="0"/>
  </r>
  <r>
    <x v="2"/>
    <x v="6"/>
    <x v="2"/>
    <x v="6"/>
    <n v="1"/>
    <n v="1688.1787824301605"/>
    <n v="0"/>
    <n v="0"/>
    <x v="0"/>
  </r>
  <r>
    <x v="2"/>
    <x v="6"/>
    <x v="2"/>
    <x v="7"/>
    <n v="1"/>
    <n v="545.57947723966402"/>
    <n v="0"/>
    <n v="0"/>
    <x v="0"/>
  </r>
  <r>
    <x v="2"/>
    <x v="6"/>
    <x v="2"/>
    <x v="8"/>
    <n v="2"/>
    <n v="389.69962659975999"/>
    <n v="0"/>
    <n v="0"/>
    <x v="0"/>
  </r>
  <r>
    <x v="2"/>
    <x v="6"/>
    <x v="2"/>
    <x v="9"/>
    <n v="2"/>
    <n v="6770.1736729923114"/>
    <n v="0"/>
    <n v="0"/>
    <x v="0"/>
  </r>
  <r>
    <x v="2"/>
    <x v="6"/>
    <x v="2"/>
    <x v="10"/>
    <n v="1"/>
    <n v="87.136836507706349"/>
    <n v="0"/>
    <n v="0"/>
    <x v="0"/>
  </r>
  <r>
    <x v="2"/>
    <x v="6"/>
    <x v="2"/>
    <x v="11"/>
    <n v="4"/>
    <n v="623.51940255961608"/>
    <n v="0"/>
    <n v="0"/>
    <x v="0"/>
  </r>
  <r>
    <x v="2"/>
    <x v="6"/>
    <x v="2"/>
    <x v="12"/>
    <n v="5"/>
    <n v="93.527910383942412"/>
    <n v="0"/>
    <n v="0"/>
    <x v="0"/>
  </r>
  <r>
    <x v="2"/>
    <x v="6"/>
    <x v="2"/>
    <x v="13"/>
    <n v="1"/>
    <n v="2938.0234248609108"/>
    <n v="0"/>
    <n v="0"/>
    <x v="0"/>
  </r>
  <r>
    <x v="2"/>
    <x v="6"/>
    <x v="3"/>
    <x v="14"/>
    <n v="2"/>
    <n v="12212.8745379352"/>
    <n v="0"/>
    <n v="0"/>
    <x v="0"/>
  </r>
  <r>
    <x v="2"/>
    <x v="6"/>
    <x v="4"/>
    <x v="15"/>
    <n v="2"/>
    <n v="1170.0272461444874"/>
    <n v="0"/>
    <n v="0"/>
    <x v="1"/>
  </r>
  <r>
    <x v="2"/>
    <x v="6"/>
    <x v="4"/>
    <x v="16"/>
    <n v="3"/>
    <n v="263.08473967262523"/>
    <n v="0"/>
    <n v="0"/>
    <x v="1"/>
  </r>
  <r>
    <x v="2"/>
    <x v="6"/>
    <x v="5"/>
    <x v="17"/>
    <n v="2"/>
    <n v="6298.6085882534053"/>
    <n v="0"/>
    <n v="0"/>
    <x v="0"/>
  </r>
  <r>
    <x v="2"/>
    <x v="7"/>
    <x v="0"/>
    <x v="0"/>
    <n v="255"/>
    <n v="0"/>
    <n v="0"/>
    <n v="0"/>
    <x v="0"/>
  </r>
  <r>
    <x v="2"/>
    <x v="7"/>
    <x v="0"/>
    <x v="1"/>
    <n v="165"/>
    <n v="4316.3411118417716"/>
    <n v="0"/>
    <n v="0"/>
    <x v="0"/>
  </r>
  <r>
    <x v="2"/>
    <x v="7"/>
    <x v="0"/>
    <x v="2"/>
    <n v="75"/>
    <n v="0"/>
    <n v="0"/>
    <n v="0"/>
    <x v="0"/>
  </r>
  <r>
    <x v="2"/>
    <x v="7"/>
    <x v="0"/>
    <x v="3"/>
    <n v="15"/>
    <n v="1631.2172451835363"/>
    <n v="0"/>
    <n v="0"/>
    <x v="0"/>
  </r>
  <r>
    <x v="2"/>
    <x v="7"/>
    <x v="1"/>
    <x v="4"/>
    <n v="100"/>
    <n v="220037.47801255609"/>
    <n v="552206.25677827583"/>
    <n v="48887.353609840487"/>
    <x v="0"/>
  </r>
  <r>
    <x v="2"/>
    <x v="7"/>
    <x v="2"/>
    <x v="5"/>
    <n v="62.5"/>
    <n v="3297.2050159902419"/>
    <n v="0"/>
    <n v="0"/>
    <x v="0"/>
  </r>
  <r>
    <x v="2"/>
    <x v="7"/>
    <x v="2"/>
    <x v="6"/>
    <n v="1"/>
    <n v="1298.4992844790663"/>
    <n v="0"/>
    <n v="0"/>
    <x v="0"/>
  </r>
  <r>
    <x v="2"/>
    <x v="7"/>
    <x v="2"/>
    <x v="7"/>
    <n v="1"/>
    <n v="419.64427476239445"/>
    <n v="0"/>
    <n v="0"/>
    <x v="0"/>
  </r>
  <r>
    <x v="2"/>
    <x v="7"/>
    <x v="2"/>
    <x v="8"/>
    <n v="2"/>
    <n v="299.74591054456744"/>
    <n v="0"/>
    <n v="0"/>
    <x v="0"/>
  </r>
  <r>
    <x v="2"/>
    <x v="7"/>
    <x v="2"/>
    <x v="9"/>
    <n v="2"/>
    <n v="5207.4257547086618"/>
    <n v="0"/>
    <n v="0"/>
    <x v="0"/>
  </r>
  <r>
    <x v="2"/>
    <x v="7"/>
    <x v="2"/>
    <x v="10"/>
    <n v="1"/>
    <n v="67.023185597765291"/>
    <n v="0"/>
    <n v="0"/>
    <x v="0"/>
  </r>
  <r>
    <x v="2"/>
    <x v="7"/>
    <x v="2"/>
    <x v="11"/>
    <n v="4"/>
    <n v="479.59345687130798"/>
    <n v="0"/>
    <n v="0"/>
    <x v="0"/>
  </r>
  <r>
    <x v="2"/>
    <x v="7"/>
    <x v="2"/>
    <x v="12"/>
    <n v="5"/>
    <n v="71.939018530696188"/>
    <n v="0"/>
    <n v="0"/>
    <x v="0"/>
  </r>
  <r>
    <x v="2"/>
    <x v="7"/>
    <x v="2"/>
    <x v="13"/>
    <n v="1"/>
    <n v="2259.844368777603"/>
    <n v="0"/>
    <n v="0"/>
    <x v="0"/>
  </r>
  <r>
    <x v="2"/>
    <x v="7"/>
    <x v="3"/>
    <x v="14"/>
    <n v="2"/>
    <n v="9393.7970397383087"/>
    <n v="0"/>
    <n v="0"/>
    <x v="0"/>
  </r>
  <r>
    <x v="2"/>
    <x v="7"/>
    <x v="4"/>
    <x v="15"/>
    <n v="2"/>
    <n v="899.95180472094432"/>
    <n v="0"/>
    <n v="0"/>
    <x v="1"/>
  </r>
  <r>
    <x v="2"/>
    <x v="7"/>
    <x v="4"/>
    <x v="16"/>
    <n v="3"/>
    <n v="202.35732718456779"/>
    <n v="0"/>
    <n v="0"/>
    <x v="1"/>
  </r>
  <r>
    <x v="2"/>
    <x v="7"/>
    <x v="5"/>
    <x v="17"/>
    <n v="2"/>
    <n v="4844.7112534416074"/>
    <n v="0"/>
    <n v="0"/>
    <x v="0"/>
  </r>
  <r>
    <x v="3"/>
    <x v="0"/>
    <x v="0"/>
    <x v="0"/>
    <n v="255"/>
    <n v="0"/>
    <n v="0"/>
    <n v="0"/>
    <x v="0"/>
  </r>
  <r>
    <x v="3"/>
    <x v="0"/>
    <x v="0"/>
    <x v="1"/>
    <n v="165"/>
    <n v="2203.8336337627743"/>
    <n v="0"/>
    <n v="0"/>
    <x v="0"/>
  </r>
  <r>
    <x v="3"/>
    <x v="0"/>
    <x v="0"/>
    <x v="2"/>
    <n v="75"/>
    <n v="0"/>
    <n v="0"/>
    <n v="0"/>
    <x v="0"/>
  </r>
  <r>
    <x v="3"/>
    <x v="0"/>
    <x v="0"/>
    <x v="3"/>
    <n v="15"/>
    <n v="832.86546075951503"/>
    <n v="0"/>
    <n v="0"/>
    <x v="0"/>
  </r>
  <r>
    <x v="3"/>
    <x v="0"/>
    <x v="1"/>
    <x v="4"/>
    <n v="50"/>
    <n v="112346.54124115119"/>
    <n v="168308.91547295009"/>
    <n v="24920.61616604236"/>
    <x v="0"/>
  </r>
  <r>
    <x v="3"/>
    <x v="0"/>
    <x v="2"/>
    <x v="5"/>
    <n v="62.5"/>
    <n v="1683.4840257910078"/>
    <n v="0"/>
    <n v="0"/>
    <x v="0"/>
  </r>
  <r>
    <x v="3"/>
    <x v="0"/>
    <x v="2"/>
    <x v="6"/>
    <n v="1"/>
    <n v="662.98661815696789"/>
    <n v="0"/>
    <n v="0"/>
    <x v="0"/>
  </r>
  <r>
    <x v="3"/>
    <x v="0"/>
    <x v="2"/>
    <x v="7"/>
    <n v="1"/>
    <n v="214.2616032824919"/>
    <n v="0"/>
    <n v="0"/>
    <x v="0"/>
  </r>
  <r>
    <x v="3"/>
    <x v="0"/>
    <x v="2"/>
    <x v="8"/>
    <n v="2"/>
    <n v="153.04400234463708"/>
    <n v="0"/>
    <n v="0"/>
    <x v="0"/>
  </r>
  <r>
    <x v="3"/>
    <x v="0"/>
    <x v="2"/>
    <x v="9"/>
    <n v="2"/>
    <n v="2658.8028439329114"/>
    <n v="0"/>
    <n v="0"/>
    <x v="0"/>
  </r>
  <r>
    <x v="3"/>
    <x v="0"/>
    <x v="2"/>
    <x v="10"/>
    <n v="1"/>
    <n v="34.220638924260854"/>
    <n v="0"/>
    <n v="0"/>
    <x v="0"/>
  </r>
  <r>
    <x v="3"/>
    <x v="0"/>
    <x v="2"/>
    <x v="11"/>
    <n v="4"/>
    <n v="244.87040375141936"/>
    <n v="0"/>
    <n v="0"/>
    <x v="0"/>
  </r>
  <r>
    <x v="3"/>
    <x v="0"/>
    <x v="2"/>
    <x v="12"/>
    <n v="5"/>
    <n v="36.730560562712895"/>
    <n v="0"/>
    <n v="0"/>
    <x v="0"/>
  </r>
  <r>
    <x v="3"/>
    <x v="0"/>
    <x v="2"/>
    <x v="13"/>
    <n v="1"/>
    <n v="1153.8293424766878"/>
    <n v="0"/>
    <n v="0"/>
    <x v="0"/>
  </r>
  <r>
    <x v="3"/>
    <x v="0"/>
    <x v="3"/>
    <x v="14"/>
    <n v="2"/>
    <n v="4796.2765982790506"/>
    <n v="0"/>
    <n v="0"/>
    <x v="0"/>
  </r>
  <r>
    <x v="3"/>
    <x v="0"/>
    <x v="4"/>
    <x v="15"/>
    <n v="2"/>
    <n v="468.87407942888069"/>
    <n v="0"/>
    <n v="0"/>
    <x v="1"/>
  </r>
  <r>
    <x v="3"/>
    <x v="0"/>
    <x v="4"/>
    <x v="16"/>
    <n v="3"/>
    <n v="105.42798514501932"/>
    <n v="0"/>
    <n v="0"/>
    <x v="1"/>
  </r>
  <r>
    <x v="3"/>
    <x v="0"/>
    <x v="5"/>
    <x v="17"/>
    <n v="2"/>
    <n v="2650.2947080022363"/>
    <n v="0"/>
    <n v="0"/>
    <x v="0"/>
  </r>
  <r>
    <x v="3"/>
    <x v="1"/>
    <x v="0"/>
    <x v="0"/>
    <n v="255"/>
    <n v="0"/>
    <n v="0"/>
    <n v="0"/>
    <x v="0"/>
  </r>
  <r>
    <x v="3"/>
    <x v="1"/>
    <x v="0"/>
    <x v="1"/>
    <n v="165"/>
    <n v="1329.2614966990977"/>
    <n v="0"/>
    <n v="0"/>
    <x v="0"/>
  </r>
  <r>
    <x v="3"/>
    <x v="1"/>
    <x v="0"/>
    <x v="2"/>
    <n v="75"/>
    <n v="0"/>
    <n v="0"/>
    <n v="0"/>
    <x v="0"/>
  </r>
  <r>
    <x v="3"/>
    <x v="1"/>
    <x v="0"/>
    <x v="3"/>
    <n v="15"/>
    <n v="502.35007396086729"/>
    <n v="0"/>
    <n v="0"/>
    <x v="0"/>
  </r>
  <r>
    <x v="3"/>
    <x v="1"/>
    <x v="1"/>
    <x v="4"/>
    <n v="50"/>
    <n v="67762.797187282878"/>
    <n v="65183.242973752116"/>
    <n v="9651.3400614706134"/>
    <x v="0"/>
  </r>
  <r>
    <x v="3"/>
    <x v="1"/>
    <x v="2"/>
    <x v="5"/>
    <n v="62.5"/>
    <n v="1015.4080877562551"/>
    <n v="0"/>
    <n v="0"/>
    <x v="0"/>
  </r>
  <r>
    <x v="3"/>
    <x v="1"/>
    <x v="2"/>
    <x v="6"/>
    <n v="1"/>
    <n v="399.88616692364519"/>
    <n v="0"/>
    <n v="0"/>
    <x v="0"/>
  </r>
  <r>
    <x v="3"/>
    <x v="1"/>
    <x v="2"/>
    <x v="7"/>
    <n v="1"/>
    <n v="129.23375662352336"/>
    <n v="0"/>
    <n v="0"/>
    <x v="0"/>
  </r>
  <r>
    <x v="3"/>
    <x v="1"/>
    <x v="2"/>
    <x v="8"/>
    <n v="2"/>
    <n v="92.309826159659551"/>
    <n v="0"/>
    <n v="0"/>
    <x v="0"/>
  </r>
  <r>
    <x v="3"/>
    <x v="1"/>
    <x v="2"/>
    <x v="9"/>
    <n v="2"/>
    <n v="1603.6801479065336"/>
    <n v="0"/>
    <n v="0"/>
    <x v="0"/>
  </r>
  <r>
    <x v="3"/>
    <x v="1"/>
    <x v="2"/>
    <x v="10"/>
    <n v="1"/>
    <n v="20.640477129299878"/>
    <n v="0"/>
    <n v="0"/>
    <x v="0"/>
  </r>
  <r>
    <x v="3"/>
    <x v="1"/>
    <x v="2"/>
    <x v="11"/>
    <n v="4"/>
    <n v="147.6957218554553"/>
    <n v="0"/>
    <n v="0"/>
    <x v="0"/>
  </r>
  <r>
    <x v="3"/>
    <x v="1"/>
    <x v="2"/>
    <x v="12"/>
    <n v="5"/>
    <n v="22.154358278318291"/>
    <n v="0"/>
    <n v="0"/>
    <x v="0"/>
  </r>
  <r>
    <x v="3"/>
    <x v="1"/>
    <x v="2"/>
    <x v="13"/>
    <n v="1"/>
    <n v="695.94224138290519"/>
    <n v="0"/>
    <n v="0"/>
    <x v="0"/>
  </r>
  <r>
    <x v="3"/>
    <x v="1"/>
    <x v="3"/>
    <x v="14"/>
    <n v="2"/>
    <n v="2892.9161039828027"/>
    <n v="0"/>
    <n v="0"/>
    <x v="0"/>
  </r>
  <r>
    <x v="3"/>
    <x v="1"/>
    <x v="4"/>
    <x v="15"/>
    <n v="2"/>
    <n v="282.80549449683838"/>
    <n v="0"/>
    <n v="0"/>
    <x v="1"/>
  </r>
  <r>
    <x v="3"/>
    <x v="1"/>
    <x v="4"/>
    <x v="16"/>
    <n v="3"/>
    <n v="63.589809675680698"/>
    <n v="0"/>
    <n v="0"/>
    <x v="1"/>
  </r>
  <r>
    <x v="3"/>
    <x v="1"/>
    <x v="5"/>
    <x v="17"/>
    <n v="2"/>
    <n v="1598.5483914399538"/>
    <n v="0"/>
    <n v="0"/>
    <x v="0"/>
  </r>
  <r>
    <x v="3"/>
    <x v="2"/>
    <x v="0"/>
    <x v="0"/>
    <n v="255"/>
    <n v="0"/>
    <n v="0"/>
    <n v="0"/>
    <x v="0"/>
  </r>
  <r>
    <x v="3"/>
    <x v="2"/>
    <x v="0"/>
    <x v="1"/>
    <n v="165"/>
    <n v="4595.982643518726"/>
    <n v="0"/>
    <n v="0"/>
    <x v="0"/>
  </r>
  <r>
    <x v="3"/>
    <x v="2"/>
    <x v="0"/>
    <x v="2"/>
    <n v="75"/>
    <n v="0"/>
    <n v="0"/>
    <n v="0"/>
    <x v="0"/>
  </r>
  <r>
    <x v="3"/>
    <x v="2"/>
    <x v="0"/>
    <x v="3"/>
    <n v="15"/>
    <n v="1736.8984406964519"/>
    <n v="0"/>
    <n v="0"/>
    <x v="0"/>
  </r>
  <r>
    <x v="3"/>
    <x v="2"/>
    <x v="1"/>
    <x v="4"/>
    <n v="50"/>
    <n v="234292.98187182125"/>
    <n v="347807.58261172392"/>
    <n v="51498.040026874623"/>
    <x v="0"/>
  </r>
  <r>
    <x v="3"/>
    <x v="2"/>
    <x v="2"/>
    <x v="5"/>
    <n v="62.5"/>
    <n v="3510.8200749101375"/>
    <n v="0"/>
    <n v="0"/>
    <x v="0"/>
  </r>
  <r>
    <x v="3"/>
    <x v="2"/>
    <x v="2"/>
    <x v="6"/>
    <n v="1"/>
    <n v="1382.6247785918833"/>
    <n v="0"/>
    <n v="0"/>
    <x v="0"/>
  </r>
  <r>
    <x v="3"/>
    <x v="2"/>
    <x v="2"/>
    <x v="7"/>
    <n v="1"/>
    <n v="446.83164589765386"/>
    <n v="0"/>
    <n v="0"/>
    <x v="0"/>
  </r>
  <r>
    <x v="3"/>
    <x v="2"/>
    <x v="2"/>
    <x v="8"/>
    <n v="2"/>
    <n v="319.16546135546702"/>
    <n v="0"/>
    <n v="0"/>
    <x v="0"/>
  </r>
  <r>
    <x v="3"/>
    <x v="2"/>
    <x v="2"/>
    <x v="9"/>
    <n v="2"/>
    <n v="5544.7977270362589"/>
    <n v="0"/>
    <n v="0"/>
    <x v="0"/>
  </r>
  <r>
    <x v="3"/>
    <x v="2"/>
    <x v="2"/>
    <x v="10"/>
    <n v="1"/>
    <n v="71.365397159082434"/>
    <n v="0"/>
    <n v="0"/>
    <x v="0"/>
  </r>
  <r>
    <x v="3"/>
    <x v="2"/>
    <x v="2"/>
    <x v="11"/>
    <n v="4"/>
    <n v="510.66473816874736"/>
    <n v="0"/>
    <n v="0"/>
    <x v="0"/>
  </r>
  <r>
    <x v="3"/>
    <x v="2"/>
    <x v="2"/>
    <x v="12"/>
    <n v="5"/>
    <n v="76.599710725312093"/>
    <n v="0"/>
    <n v="0"/>
    <x v="0"/>
  </r>
  <r>
    <x v="3"/>
    <x v="2"/>
    <x v="2"/>
    <x v="13"/>
    <n v="1"/>
    <n v="2406.252246251137"/>
    <n v="0"/>
    <n v="0"/>
    <x v="0"/>
  </r>
  <r>
    <x v="3"/>
    <x v="2"/>
    <x v="3"/>
    <x v="14"/>
    <n v="2"/>
    <n v="10002.390226511254"/>
    <n v="0"/>
    <n v="0"/>
    <x v="0"/>
  </r>
  <r>
    <x v="3"/>
    <x v="2"/>
    <x v="4"/>
    <x v="15"/>
    <n v="2"/>
    <n v="977.81297918194798"/>
    <n v="0"/>
    <n v="0"/>
    <x v="1"/>
  </r>
  <r>
    <x v="3"/>
    <x v="2"/>
    <x v="4"/>
    <x v="16"/>
    <n v="3"/>
    <n v="219.86468599281594"/>
    <n v="0"/>
    <n v="0"/>
    <x v="1"/>
  </r>
  <r>
    <x v="3"/>
    <x v="2"/>
    <x v="5"/>
    <x v="17"/>
    <n v="2"/>
    <n v="5527.0544434838994"/>
    <n v="0"/>
    <n v="0"/>
    <x v="0"/>
  </r>
  <r>
    <x v="3"/>
    <x v="3"/>
    <x v="0"/>
    <x v="0"/>
    <n v="255"/>
    <n v="0"/>
    <n v="0"/>
    <n v="0"/>
    <x v="0"/>
  </r>
  <r>
    <x v="3"/>
    <x v="3"/>
    <x v="0"/>
    <x v="1"/>
    <n v="165"/>
    <n v="5636.3550172563491"/>
    <n v="0"/>
    <n v="0"/>
    <x v="0"/>
  </r>
  <r>
    <x v="3"/>
    <x v="3"/>
    <x v="0"/>
    <x v="2"/>
    <n v="75"/>
    <n v="0"/>
    <n v="0"/>
    <n v="0"/>
    <x v="0"/>
  </r>
  <r>
    <x v="3"/>
    <x v="3"/>
    <x v="0"/>
    <x v="3"/>
    <n v="15"/>
    <n v="2130.0725002714616"/>
    <n v="0"/>
    <n v="0"/>
    <x v="0"/>
  </r>
  <r>
    <x v="3"/>
    <x v="3"/>
    <x v="1"/>
    <x v="4"/>
    <n v="50"/>
    <n v="287328.85354635696"/>
    <n v="348978.19142737734"/>
    <n v="51671.365919288051"/>
    <x v="0"/>
  </r>
  <r>
    <x v="3"/>
    <x v="3"/>
    <x v="2"/>
    <x v="5"/>
    <n v="62.5"/>
    <n v="4305.5489715152662"/>
    <n v="0"/>
    <n v="0"/>
    <x v="0"/>
  </r>
  <r>
    <x v="3"/>
    <x v="3"/>
    <x v="2"/>
    <x v="6"/>
    <n v="1"/>
    <n v="1695.603467691285"/>
    <n v="0"/>
    <n v="0"/>
    <x v="0"/>
  </r>
  <r>
    <x v="3"/>
    <x v="3"/>
    <x v="2"/>
    <x v="7"/>
    <n v="1"/>
    <n v="547.97896001103391"/>
    <n v="0"/>
    <n v="0"/>
    <x v="0"/>
  </r>
  <r>
    <x v="3"/>
    <x v="3"/>
    <x v="2"/>
    <x v="8"/>
    <n v="2"/>
    <n v="391.41354286502417"/>
    <n v="0"/>
    <n v="0"/>
    <x v="0"/>
  </r>
  <r>
    <x v="3"/>
    <x v="3"/>
    <x v="2"/>
    <x v="9"/>
    <n v="2"/>
    <n v="6799.9491974854927"/>
    <n v="0"/>
    <n v="0"/>
    <x v="0"/>
  </r>
  <r>
    <x v="3"/>
    <x v="3"/>
    <x v="2"/>
    <x v="10"/>
    <n v="1"/>
    <n v="87.520068184619419"/>
    <n v="0"/>
    <n v="0"/>
    <x v="0"/>
  </r>
  <r>
    <x v="3"/>
    <x v="3"/>
    <x v="2"/>
    <x v="11"/>
    <n v="4"/>
    <n v="626.26166858403883"/>
    <n v="0"/>
    <n v="0"/>
    <x v="0"/>
  </r>
  <r>
    <x v="3"/>
    <x v="3"/>
    <x v="2"/>
    <x v="12"/>
    <n v="5"/>
    <n v="93.939250287605802"/>
    <n v="0"/>
    <n v="0"/>
    <x v="0"/>
  </r>
  <r>
    <x v="3"/>
    <x v="3"/>
    <x v="2"/>
    <x v="13"/>
    <n v="1"/>
    <n v="2950.9449823679902"/>
    <n v="0"/>
    <n v="0"/>
    <x v="0"/>
  </r>
  <r>
    <x v="3"/>
    <x v="3"/>
    <x v="3"/>
    <x v="14"/>
    <n v="2"/>
    <n v="12266.587302555568"/>
    <n v="0"/>
    <n v="0"/>
    <x v="0"/>
  </r>
  <r>
    <x v="3"/>
    <x v="3"/>
    <x v="4"/>
    <x v="15"/>
    <n v="2"/>
    <n v="1199.1562019762216"/>
    <n v="0"/>
    <n v="0"/>
    <x v="1"/>
  </r>
  <r>
    <x v="3"/>
    <x v="3"/>
    <x v="4"/>
    <x v="16"/>
    <n v="3"/>
    <n v="269.63448779787598"/>
    <n v="0"/>
    <n v="0"/>
    <x v="1"/>
  </r>
  <r>
    <x v="3"/>
    <x v="3"/>
    <x v="5"/>
    <x v="17"/>
    <n v="2"/>
    <n v="6778.189444886345"/>
    <n v="0"/>
    <n v="0"/>
    <x v="0"/>
  </r>
  <r>
    <x v="3"/>
    <x v="4"/>
    <x v="0"/>
    <x v="0"/>
    <n v="255"/>
    <n v="0"/>
    <n v="0"/>
    <n v="0"/>
    <x v="0"/>
  </r>
  <r>
    <x v="3"/>
    <x v="4"/>
    <x v="0"/>
    <x v="1"/>
    <n v="165"/>
    <n v="8196.8118662500547"/>
    <n v="0"/>
    <n v="0"/>
    <x v="0"/>
  </r>
  <r>
    <x v="3"/>
    <x v="4"/>
    <x v="0"/>
    <x v="2"/>
    <n v="75"/>
    <n v="0"/>
    <n v="0"/>
    <n v="0"/>
    <x v="0"/>
  </r>
  <r>
    <x v="3"/>
    <x v="4"/>
    <x v="0"/>
    <x v="3"/>
    <n v="15"/>
    <n v="3097.7118177869993"/>
    <n v="0"/>
    <n v="0"/>
    <x v="0"/>
  </r>
  <r>
    <x v="3"/>
    <x v="4"/>
    <x v="1"/>
    <x v="4"/>
    <n v="50"/>
    <n v="417855.25380394718"/>
    <n v="50809.485491879714"/>
    <n v="7523.0933666180717"/>
    <x v="0"/>
  </r>
  <r>
    <x v="3"/>
    <x v="4"/>
    <x v="2"/>
    <x v="5"/>
    <n v="62.5"/>
    <n v="6261.4535089410128"/>
    <n v="0"/>
    <n v="0"/>
    <x v="0"/>
  </r>
  <r>
    <x v="3"/>
    <x v="4"/>
    <x v="2"/>
    <x v="6"/>
    <n v="1"/>
    <n v="2465.8742364302248"/>
    <n v="0"/>
    <n v="0"/>
    <x v="0"/>
  </r>
  <r>
    <x v="3"/>
    <x v="4"/>
    <x v="2"/>
    <x v="7"/>
    <n v="1"/>
    <n v="796.91226477431076"/>
    <n v="0"/>
    <n v="0"/>
    <x v="0"/>
  </r>
  <r>
    <x v="3"/>
    <x v="4"/>
    <x v="2"/>
    <x v="8"/>
    <n v="2"/>
    <n v="569.22304626736479"/>
    <n v="0"/>
    <n v="0"/>
    <x v="0"/>
  </r>
  <r>
    <x v="3"/>
    <x v="4"/>
    <x v="2"/>
    <x v="9"/>
    <n v="2"/>
    <n v="9888.9981381936759"/>
    <n v="0"/>
    <n v="0"/>
    <x v="0"/>
  </r>
  <r>
    <x v="3"/>
    <x v="4"/>
    <x v="2"/>
    <x v="10"/>
    <n v="1"/>
    <n v="127.27827314538278"/>
    <n v="0"/>
    <n v="0"/>
    <x v="0"/>
  </r>
  <r>
    <x v="3"/>
    <x v="4"/>
    <x v="2"/>
    <x v="11"/>
    <n v="4"/>
    <n v="910.75687402778385"/>
    <n v="0"/>
    <n v="0"/>
    <x v="0"/>
  </r>
  <r>
    <x v="3"/>
    <x v="4"/>
    <x v="2"/>
    <x v="12"/>
    <n v="5"/>
    <n v="136.61353110416755"/>
    <n v="0"/>
    <n v="0"/>
    <x v="0"/>
  </r>
  <r>
    <x v="3"/>
    <x v="4"/>
    <x v="2"/>
    <x v="13"/>
    <n v="1"/>
    <n v="4291.4863904189169"/>
    <n v="0"/>
    <n v="0"/>
    <x v="0"/>
  </r>
  <r>
    <x v="3"/>
    <x v="4"/>
    <x v="3"/>
    <x v="14"/>
    <n v="2"/>
    <n v="17838.994891582202"/>
    <n v="0"/>
    <n v="0"/>
    <x v="0"/>
  </r>
  <r>
    <x v="3"/>
    <x v="4"/>
    <x v="4"/>
    <x v="15"/>
    <n v="2"/>
    <n v="1743.903241678822"/>
    <n v="0"/>
    <n v="0"/>
    <x v="1"/>
  </r>
  <r>
    <x v="3"/>
    <x v="4"/>
    <x v="4"/>
    <x v="16"/>
    <n v="3"/>
    <n v="392.12277480131718"/>
    <n v="0"/>
    <n v="0"/>
    <x v="1"/>
  </r>
  <r>
    <x v="3"/>
    <x v="4"/>
    <x v="5"/>
    <x v="17"/>
    <n v="2"/>
    <n v="9857.3534675217106"/>
    <n v="0"/>
    <n v="0"/>
    <x v="0"/>
  </r>
  <r>
    <x v="3"/>
    <x v="5"/>
    <x v="0"/>
    <x v="0"/>
    <n v="255"/>
    <n v="0"/>
    <n v="0"/>
    <n v="0"/>
    <x v="0"/>
  </r>
  <r>
    <x v="3"/>
    <x v="5"/>
    <x v="0"/>
    <x v="1"/>
    <n v="165"/>
    <n v="6812.8919223322537"/>
    <n v="0"/>
    <n v="0"/>
    <x v="0"/>
  </r>
  <r>
    <x v="3"/>
    <x v="5"/>
    <x v="0"/>
    <x v="2"/>
    <n v="75"/>
    <n v="0"/>
    <n v="0"/>
    <n v="0"/>
    <x v="0"/>
  </r>
  <r>
    <x v="3"/>
    <x v="5"/>
    <x v="0"/>
    <x v="3"/>
    <n v="15"/>
    <n v="2574.7054056480638"/>
    <n v="0"/>
    <n v="0"/>
    <x v="0"/>
  </r>
  <r>
    <x v="3"/>
    <x v="5"/>
    <x v="1"/>
    <x v="4"/>
    <n v="50"/>
    <n v="347306.09044067084"/>
    <n v="682478.42802437651"/>
    <n v="101050.99244806718"/>
    <x v="0"/>
  </r>
  <r>
    <x v="3"/>
    <x v="5"/>
    <x v="2"/>
    <x v="5"/>
    <n v="62.5"/>
    <n v="5204.2924406704706"/>
    <n v="0"/>
    <n v="0"/>
    <x v="0"/>
  </r>
  <r>
    <x v="3"/>
    <x v="5"/>
    <x v="2"/>
    <x v="6"/>
    <n v="1"/>
    <n v="2049.5449866349527"/>
    <n v="0"/>
    <n v="0"/>
    <x v="0"/>
  </r>
  <r>
    <x v="3"/>
    <x v="5"/>
    <x v="2"/>
    <x v="7"/>
    <n v="1"/>
    <n v="662.36449244896903"/>
    <n v="0"/>
    <n v="0"/>
    <x v="0"/>
  </r>
  <r>
    <x v="3"/>
    <x v="5"/>
    <x v="2"/>
    <x v="8"/>
    <n v="2"/>
    <n v="473.11749460640641"/>
    <n v="0"/>
    <n v="0"/>
    <x v="0"/>
  </r>
  <r>
    <x v="3"/>
    <x v="5"/>
    <x v="2"/>
    <x v="9"/>
    <n v="2"/>
    <n v="8219.3756102981788"/>
    <n v="0"/>
    <n v="0"/>
    <x v="0"/>
  </r>
  <r>
    <x v="3"/>
    <x v="5"/>
    <x v="2"/>
    <x v="10"/>
    <n v="1"/>
    <n v="105.78907179399249"/>
    <n v="0"/>
    <n v="0"/>
    <x v="0"/>
  </r>
  <r>
    <x v="3"/>
    <x v="5"/>
    <x v="2"/>
    <x v="11"/>
    <n v="4"/>
    <n v="756.98799137025037"/>
    <n v="0"/>
    <n v="0"/>
    <x v="0"/>
  </r>
  <r>
    <x v="3"/>
    <x v="5"/>
    <x v="2"/>
    <x v="12"/>
    <n v="5"/>
    <n v="113.54819870553754"/>
    <n v="0"/>
    <n v="0"/>
    <x v="0"/>
  </r>
  <r>
    <x v="3"/>
    <x v="5"/>
    <x v="2"/>
    <x v="13"/>
    <n v="1"/>
    <n v="3566.9274153366191"/>
    <n v="0"/>
    <n v="0"/>
    <x v="0"/>
  </r>
  <r>
    <x v="3"/>
    <x v="5"/>
    <x v="3"/>
    <x v="14"/>
    <n v="2"/>
    <n v="14827.123786969094"/>
    <n v="0"/>
    <n v="0"/>
    <x v="0"/>
  </r>
  <r>
    <x v="3"/>
    <x v="5"/>
    <x v="4"/>
    <x v="15"/>
    <n v="2"/>
    <n v="1449.4689523718578"/>
    <n v="0"/>
    <n v="0"/>
    <x v="1"/>
  </r>
  <r>
    <x v="3"/>
    <x v="5"/>
    <x v="4"/>
    <x v="16"/>
    <n v="3"/>
    <n v="325.91818973009788"/>
    <n v="0"/>
    <n v="0"/>
    <x v="1"/>
  </r>
  <r>
    <x v="3"/>
    <x v="5"/>
    <x v="5"/>
    <x v="17"/>
    <n v="2"/>
    <n v="8193.0737108860922"/>
    <n v="0"/>
    <n v="0"/>
    <x v="0"/>
  </r>
  <r>
    <x v="3"/>
    <x v="6"/>
    <x v="0"/>
    <x v="0"/>
    <n v="255"/>
    <n v="0"/>
    <n v="0"/>
    <n v="0"/>
    <x v="0"/>
  </r>
  <r>
    <x v="3"/>
    <x v="6"/>
    <x v="0"/>
    <x v="1"/>
    <n v="165"/>
    <n v="5499.441130575814"/>
    <n v="0"/>
    <n v="0"/>
    <x v="0"/>
  </r>
  <r>
    <x v="3"/>
    <x v="6"/>
    <x v="0"/>
    <x v="2"/>
    <n v="75"/>
    <n v="0"/>
    <n v="0"/>
    <n v="0"/>
    <x v="0"/>
  </r>
  <r>
    <x v="3"/>
    <x v="6"/>
    <x v="0"/>
    <x v="3"/>
    <n v="15"/>
    <n v="2078.330460596776"/>
    <n v="0"/>
    <n v="0"/>
    <x v="0"/>
  </r>
  <r>
    <x v="3"/>
    <x v="6"/>
    <x v="1"/>
    <x v="4"/>
    <n v="100"/>
    <n v="280349.2878564648"/>
    <n v="427733.08563075069"/>
    <n v="63332.18902021859"/>
    <x v="0"/>
  </r>
  <r>
    <x v="3"/>
    <x v="6"/>
    <x v="2"/>
    <x v="5"/>
    <n v="62.5"/>
    <n v="4200.9619747454126"/>
    <n v="0"/>
    <n v="0"/>
    <x v="0"/>
  </r>
  <r>
    <x v="3"/>
    <x v="6"/>
    <x v="2"/>
    <x v="6"/>
    <n v="1"/>
    <n v="1654.4152067815573"/>
    <n v="0"/>
    <n v="0"/>
    <x v="0"/>
  </r>
  <r>
    <x v="3"/>
    <x v="6"/>
    <x v="2"/>
    <x v="7"/>
    <n v="1"/>
    <n v="534.66788769487073"/>
    <n v="0"/>
    <n v="0"/>
    <x v="0"/>
  </r>
  <r>
    <x v="3"/>
    <x v="6"/>
    <x v="2"/>
    <x v="8"/>
    <n v="2"/>
    <n v="381.90563406776477"/>
    <n v="0"/>
    <n v="0"/>
    <x v="0"/>
  </r>
  <r>
    <x v="3"/>
    <x v="6"/>
    <x v="2"/>
    <x v="9"/>
    <n v="2"/>
    <n v="6634.7701995324651"/>
    <n v="0"/>
    <n v="0"/>
    <x v="0"/>
  </r>
  <r>
    <x v="3"/>
    <x v="6"/>
    <x v="2"/>
    <x v="10"/>
    <n v="1"/>
    <n v="85.394099777552213"/>
    <n v="0"/>
    <n v="0"/>
    <x v="0"/>
  </r>
  <r>
    <x v="3"/>
    <x v="6"/>
    <x v="2"/>
    <x v="11"/>
    <n v="4"/>
    <n v="611.04901450842374"/>
    <n v="0"/>
    <n v="0"/>
    <x v="0"/>
  </r>
  <r>
    <x v="3"/>
    <x v="6"/>
    <x v="2"/>
    <x v="12"/>
    <n v="5"/>
    <n v="91.657352176263558"/>
    <n v="0"/>
    <n v="0"/>
    <x v="0"/>
  </r>
  <r>
    <x v="3"/>
    <x v="6"/>
    <x v="2"/>
    <x v="13"/>
    <n v="1"/>
    <n v="2879.2629563636924"/>
    <n v="0"/>
    <n v="0"/>
    <x v="0"/>
  </r>
  <r>
    <x v="3"/>
    <x v="6"/>
    <x v="3"/>
    <x v="14"/>
    <n v="2"/>
    <n v="11968.617047176496"/>
    <n v="0"/>
    <n v="0"/>
    <x v="0"/>
  </r>
  <r>
    <x v="3"/>
    <x v="6"/>
    <x v="4"/>
    <x v="15"/>
    <n v="2"/>
    <n v="1170.0272461444874"/>
    <n v="0"/>
    <n v="0"/>
    <x v="1"/>
  </r>
  <r>
    <x v="3"/>
    <x v="6"/>
    <x v="4"/>
    <x v="16"/>
    <n v="3"/>
    <n v="263.08473967262523"/>
    <n v="0"/>
    <n v="0"/>
    <x v="1"/>
  </r>
  <r>
    <x v="3"/>
    <x v="6"/>
    <x v="5"/>
    <x v="17"/>
    <n v="2"/>
    <n v="6613.5390176660758"/>
    <n v="0"/>
    <n v="0"/>
    <x v="0"/>
  </r>
  <r>
    <x v="3"/>
    <x v="7"/>
    <x v="0"/>
    <x v="0"/>
    <n v="255"/>
    <n v="0"/>
    <n v="0"/>
    <n v="0"/>
    <x v="0"/>
  </r>
  <r>
    <x v="3"/>
    <x v="7"/>
    <x v="0"/>
    <x v="1"/>
    <n v="165"/>
    <n v="4230.0142896049365"/>
    <n v="0"/>
    <n v="0"/>
    <x v="0"/>
  </r>
  <r>
    <x v="3"/>
    <x v="7"/>
    <x v="0"/>
    <x v="2"/>
    <n v="75"/>
    <n v="0"/>
    <n v="0"/>
    <n v="0"/>
    <x v="0"/>
  </r>
  <r>
    <x v="3"/>
    <x v="7"/>
    <x v="0"/>
    <x v="3"/>
    <n v="15"/>
    <n v="1598.5929002798655"/>
    <n v="0"/>
    <n v="0"/>
    <x v="0"/>
  </r>
  <r>
    <x v="3"/>
    <x v="7"/>
    <x v="1"/>
    <x v="4"/>
    <n v="100"/>
    <n v="215636.72845230496"/>
    <n v="579816.5696171897"/>
    <n v="85850.390857420804"/>
    <x v="0"/>
  </r>
  <r>
    <x v="3"/>
    <x v="7"/>
    <x v="2"/>
    <x v="5"/>
    <n v="62.5"/>
    <n v="3231.260915670437"/>
    <n v="0"/>
    <n v="0"/>
    <x v="0"/>
  </r>
  <r>
    <x v="3"/>
    <x v="7"/>
    <x v="2"/>
    <x v="6"/>
    <n v="1"/>
    <n v="1272.529298789485"/>
    <n v="0"/>
    <n v="0"/>
    <x v="0"/>
  </r>
  <r>
    <x v="3"/>
    <x v="7"/>
    <x v="2"/>
    <x v="7"/>
    <n v="1"/>
    <n v="411.25138926714652"/>
    <n v="0"/>
    <n v="0"/>
    <x v="0"/>
  </r>
  <r>
    <x v="3"/>
    <x v="7"/>
    <x v="2"/>
    <x v="8"/>
    <n v="2"/>
    <n v="293.75099233367609"/>
    <n v="0"/>
    <n v="0"/>
    <x v="0"/>
  </r>
  <r>
    <x v="3"/>
    <x v="7"/>
    <x v="2"/>
    <x v="9"/>
    <n v="2"/>
    <n v="5103.2772396144883"/>
    <n v="0"/>
    <n v="0"/>
    <x v="0"/>
  </r>
  <r>
    <x v="3"/>
    <x v="7"/>
    <x v="2"/>
    <x v="10"/>
    <n v="1"/>
    <n v="65.682721885809983"/>
    <n v="0"/>
    <n v="0"/>
    <x v="0"/>
  </r>
  <r>
    <x v="3"/>
    <x v="7"/>
    <x v="2"/>
    <x v="11"/>
    <n v="4"/>
    <n v="470.00158773388182"/>
    <n v="0"/>
    <n v="0"/>
    <x v="0"/>
  </r>
  <r>
    <x v="3"/>
    <x v="7"/>
    <x v="2"/>
    <x v="12"/>
    <n v="5"/>
    <n v="70.500238160082262"/>
    <n v="0"/>
    <n v="0"/>
    <x v="0"/>
  </r>
  <r>
    <x v="3"/>
    <x v="7"/>
    <x v="2"/>
    <x v="13"/>
    <n v="1"/>
    <n v="2214.6474814020507"/>
    <n v="0"/>
    <n v="0"/>
    <x v="0"/>
  </r>
  <r>
    <x v="3"/>
    <x v="7"/>
    <x v="3"/>
    <x v="14"/>
    <n v="2"/>
    <n v="9205.9210989435433"/>
    <n v="0"/>
    <n v="0"/>
    <x v="0"/>
  </r>
  <r>
    <x v="3"/>
    <x v="7"/>
    <x v="4"/>
    <x v="15"/>
    <n v="2"/>
    <n v="899.95180472094432"/>
    <n v="0"/>
    <n v="0"/>
    <x v="1"/>
  </r>
  <r>
    <x v="3"/>
    <x v="7"/>
    <x v="4"/>
    <x v="16"/>
    <n v="3"/>
    <n v="202.35732718456779"/>
    <n v="0"/>
    <n v="0"/>
    <x v="1"/>
  </r>
  <r>
    <x v="3"/>
    <x v="7"/>
    <x v="5"/>
    <x v="17"/>
    <n v="2"/>
    <n v="5086.9468161136874"/>
    <n v="0"/>
    <n v="0"/>
    <x v="0"/>
  </r>
  <r>
    <x v="4"/>
    <x v="0"/>
    <x v="0"/>
    <x v="0"/>
    <n v="255"/>
    <n v="0"/>
    <n v="0"/>
    <n v="0"/>
    <x v="0"/>
  </r>
  <r>
    <x v="4"/>
    <x v="0"/>
    <x v="0"/>
    <x v="1"/>
    <n v="165"/>
    <n v="2314.0253154509128"/>
    <n v="0"/>
    <n v="0"/>
    <x v="0"/>
  </r>
  <r>
    <x v="4"/>
    <x v="0"/>
    <x v="0"/>
    <x v="2"/>
    <n v="75"/>
    <n v="0"/>
    <n v="0"/>
    <n v="0"/>
    <x v="0"/>
  </r>
  <r>
    <x v="4"/>
    <x v="0"/>
    <x v="0"/>
    <x v="3"/>
    <n v="15"/>
    <n v="874.50873379749078"/>
    <n v="0"/>
    <n v="0"/>
    <x v="0"/>
  </r>
  <r>
    <x v="4"/>
    <x v="0"/>
    <x v="1"/>
    <x v="4"/>
    <n v="50"/>
    <n v="117963.86830320876"/>
    <n v="176724.36124659757"/>
    <n v="26198.259453420462"/>
    <x v="0"/>
  </r>
  <r>
    <x v="4"/>
    <x v="0"/>
    <x v="2"/>
    <x v="5"/>
    <n v="62.5"/>
    <n v="1767.6582270805584"/>
    <n v="0"/>
    <n v="0"/>
    <x v="0"/>
  </r>
  <r>
    <x v="4"/>
    <x v="0"/>
    <x v="2"/>
    <x v="6"/>
    <n v="1"/>
    <n v="696.13594906481637"/>
    <n v="0"/>
    <n v="0"/>
    <x v="0"/>
  </r>
  <r>
    <x v="4"/>
    <x v="0"/>
    <x v="2"/>
    <x v="7"/>
    <n v="1"/>
    <n v="224.97468344661652"/>
    <n v="0"/>
    <n v="0"/>
    <x v="0"/>
  </r>
  <r>
    <x v="4"/>
    <x v="0"/>
    <x v="2"/>
    <x v="8"/>
    <n v="2"/>
    <n v="160.69620246186892"/>
    <n v="0"/>
    <n v="0"/>
    <x v="0"/>
  </r>
  <r>
    <x v="4"/>
    <x v="0"/>
    <x v="2"/>
    <x v="9"/>
    <n v="2"/>
    <n v="2791.7429861295568"/>
    <n v="0"/>
    <n v="0"/>
    <x v="0"/>
  </r>
  <r>
    <x v="4"/>
    <x v="0"/>
    <x v="2"/>
    <x v="10"/>
    <n v="1"/>
    <n v="35.931670870473894"/>
    <n v="0"/>
    <n v="0"/>
    <x v="0"/>
  </r>
  <r>
    <x v="4"/>
    <x v="0"/>
    <x v="2"/>
    <x v="11"/>
    <n v="4"/>
    <n v="257.11392393899035"/>
    <n v="0"/>
    <n v="0"/>
    <x v="0"/>
  </r>
  <r>
    <x v="4"/>
    <x v="0"/>
    <x v="2"/>
    <x v="12"/>
    <n v="5"/>
    <n v="38.567088590848549"/>
    <n v="0"/>
    <n v="0"/>
    <x v="0"/>
  </r>
  <r>
    <x v="4"/>
    <x v="0"/>
    <x v="2"/>
    <x v="13"/>
    <n v="1"/>
    <n v="1211.5208096005222"/>
    <n v="0"/>
    <n v="0"/>
    <x v="0"/>
  </r>
  <r>
    <x v="4"/>
    <x v="0"/>
    <x v="3"/>
    <x v="14"/>
    <n v="2"/>
    <n v="5036.0904281930034"/>
    <n v="0"/>
    <n v="0"/>
    <x v="0"/>
  </r>
  <r>
    <x v="4"/>
    <x v="0"/>
    <x v="4"/>
    <x v="15"/>
    <n v="2"/>
    <n v="468.87407942888069"/>
    <n v="0"/>
    <n v="0"/>
    <x v="1"/>
  </r>
  <r>
    <x v="4"/>
    <x v="0"/>
    <x v="4"/>
    <x v="16"/>
    <n v="3"/>
    <n v="105.42798514501932"/>
    <n v="0"/>
    <n v="0"/>
    <x v="1"/>
  </r>
  <r>
    <x v="4"/>
    <x v="0"/>
    <x v="5"/>
    <x v="17"/>
    <n v="2"/>
    <n v="2782.8094434023483"/>
    <n v="0"/>
    <n v="0"/>
    <x v="0"/>
  </r>
  <r>
    <x v="4"/>
    <x v="1"/>
    <x v="0"/>
    <x v="0"/>
    <n v="255"/>
    <n v="0"/>
    <n v="0"/>
    <n v="0"/>
    <x v="0"/>
  </r>
  <r>
    <x v="4"/>
    <x v="1"/>
    <x v="0"/>
    <x v="1"/>
    <n v="165"/>
    <n v="1395.7245715340525"/>
    <n v="0"/>
    <n v="0"/>
    <x v="0"/>
  </r>
  <r>
    <x v="4"/>
    <x v="1"/>
    <x v="0"/>
    <x v="2"/>
    <n v="75"/>
    <n v="0"/>
    <n v="0"/>
    <n v="0"/>
    <x v="0"/>
  </r>
  <r>
    <x v="4"/>
    <x v="1"/>
    <x v="0"/>
    <x v="3"/>
    <n v="15"/>
    <n v="527.46757765891061"/>
    <n v="0"/>
    <n v="0"/>
    <x v="0"/>
  </r>
  <r>
    <x v="4"/>
    <x v="1"/>
    <x v="1"/>
    <x v="4"/>
    <n v="50"/>
    <n v="71150.937046647028"/>
    <n v="68442.405122439726"/>
    <n v="10146.150051784731"/>
    <x v="0"/>
  </r>
  <r>
    <x v="4"/>
    <x v="1"/>
    <x v="2"/>
    <x v="5"/>
    <n v="62.5"/>
    <n v="1066.1784921440678"/>
    <n v="0"/>
    <n v="0"/>
    <x v="0"/>
  </r>
  <r>
    <x v="4"/>
    <x v="1"/>
    <x v="2"/>
    <x v="6"/>
    <n v="1"/>
    <n v="419.88047526982751"/>
    <n v="0"/>
    <n v="0"/>
    <x v="0"/>
  </r>
  <r>
    <x v="4"/>
    <x v="1"/>
    <x v="2"/>
    <x v="7"/>
    <n v="1"/>
    <n v="135.69544445469955"/>
    <n v="0"/>
    <n v="0"/>
    <x v="0"/>
  </r>
  <r>
    <x v="4"/>
    <x v="1"/>
    <x v="2"/>
    <x v="8"/>
    <n v="2"/>
    <n v="96.925317467642529"/>
    <n v="0"/>
    <n v="0"/>
    <x v="0"/>
  </r>
  <r>
    <x v="4"/>
    <x v="1"/>
    <x v="2"/>
    <x v="9"/>
    <n v="2"/>
    <n v="1683.8641553018604"/>
    <n v="0"/>
    <n v="0"/>
    <x v="0"/>
  </r>
  <r>
    <x v="4"/>
    <x v="1"/>
    <x v="2"/>
    <x v="10"/>
    <n v="1"/>
    <n v="21.67250098576487"/>
    <n v="0"/>
    <n v="0"/>
    <x v="0"/>
  </r>
  <r>
    <x v="4"/>
    <x v="1"/>
    <x v="2"/>
    <x v="11"/>
    <n v="4"/>
    <n v="155.08050794822807"/>
    <n v="0"/>
    <n v="0"/>
    <x v="0"/>
  </r>
  <r>
    <x v="4"/>
    <x v="1"/>
    <x v="2"/>
    <x v="12"/>
    <n v="5"/>
    <n v="23.262076192234208"/>
    <n v="0"/>
    <n v="0"/>
    <x v="0"/>
  </r>
  <r>
    <x v="4"/>
    <x v="1"/>
    <x v="2"/>
    <x v="13"/>
    <n v="1"/>
    <n v="730.73935345205052"/>
    <n v="0"/>
    <n v="0"/>
    <x v="0"/>
  </r>
  <r>
    <x v="4"/>
    <x v="1"/>
    <x v="3"/>
    <x v="14"/>
    <n v="2"/>
    <n v="3037.5619091819431"/>
    <n v="0"/>
    <n v="0"/>
    <x v="0"/>
  </r>
  <r>
    <x v="4"/>
    <x v="1"/>
    <x v="4"/>
    <x v="15"/>
    <n v="2"/>
    <n v="282.80549449683838"/>
    <n v="0"/>
    <n v="0"/>
    <x v="1"/>
  </r>
  <r>
    <x v="4"/>
    <x v="1"/>
    <x v="4"/>
    <x v="16"/>
    <n v="3"/>
    <n v="63.589809675680698"/>
    <n v="0"/>
    <n v="0"/>
    <x v="1"/>
  </r>
  <r>
    <x v="4"/>
    <x v="1"/>
    <x v="5"/>
    <x v="17"/>
    <n v="2"/>
    <n v="1678.4758110119515"/>
    <n v="0"/>
    <n v="0"/>
    <x v="0"/>
  </r>
  <r>
    <x v="4"/>
    <x v="2"/>
    <x v="0"/>
    <x v="0"/>
    <n v="255"/>
    <n v="0"/>
    <n v="0"/>
    <n v="0"/>
    <x v="0"/>
  </r>
  <r>
    <x v="4"/>
    <x v="2"/>
    <x v="0"/>
    <x v="1"/>
    <n v="165"/>
    <n v="4825.7817756946624"/>
    <n v="0"/>
    <n v="0"/>
    <x v="0"/>
  </r>
  <r>
    <x v="4"/>
    <x v="2"/>
    <x v="0"/>
    <x v="2"/>
    <n v="75"/>
    <n v="0"/>
    <n v="0"/>
    <n v="0"/>
    <x v="0"/>
  </r>
  <r>
    <x v="4"/>
    <x v="2"/>
    <x v="0"/>
    <x v="3"/>
    <n v="15"/>
    <n v="1823.7433627312744"/>
    <n v="0"/>
    <n v="0"/>
    <x v="0"/>
  </r>
  <r>
    <x v="4"/>
    <x v="2"/>
    <x v="1"/>
    <x v="4"/>
    <n v="50"/>
    <n v="246007.63096541233"/>
    <n v="365197.96174231009"/>
    <n v="54138.268691971636"/>
    <x v="0"/>
  </r>
  <r>
    <x v="4"/>
    <x v="2"/>
    <x v="2"/>
    <x v="5"/>
    <n v="62.5"/>
    <n v="3686.3610786556446"/>
    <n v="0"/>
    <n v="0"/>
    <x v="0"/>
  </r>
  <r>
    <x v="4"/>
    <x v="2"/>
    <x v="2"/>
    <x v="6"/>
    <n v="1"/>
    <n v="1451.7560175214778"/>
    <n v="0"/>
    <n v="0"/>
    <x v="0"/>
  </r>
  <r>
    <x v="4"/>
    <x v="2"/>
    <x v="2"/>
    <x v="7"/>
    <n v="1"/>
    <n v="469.17322819253661"/>
    <n v="0"/>
    <n v="0"/>
    <x v="0"/>
  </r>
  <r>
    <x v="4"/>
    <x v="2"/>
    <x v="2"/>
    <x v="8"/>
    <n v="2"/>
    <n v="335.12373442324042"/>
    <n v="0"/>
    <n v="0"/>
    <x v="0"/>
  </r>
  <r>
    <x v="4"/>
    <x v="2"/>
    <x v="2"/>
    <x v="9"/>
    <n v="2"/>
    <n v="5822.0376133880718"/>
    <n v="0"/>
    <n v="0"/>
    <x v="0"/>
  </r>
  <r>
    <x v="4"/>
    <x v="2"/>
    <x v="2"/>
    <x v="10"/>
    <n v="1"/>
    <n v="74.933667017036555"/>
    <n v="0"/>
    <n v="0"/>
    <x v="0"/>
  </r>
  <r>
    <x v="4"/>
    <x v="2"/>
    <x v="2"/>
    <x v="11"/>
    <n v="4"/>
    <n v="536.19797507718476"/>
    <n v="0"/>
    <n v="0"/>
    <x v="0"/>
  </r>
  <r>
    <x v="4"/>
    <x v="2"/>
    <x v="2"/>
    <x v="12"/>
    <n v="5"/>
    <n v="80.429696261577703"/>
    <n v="0"/>
    <n v="0"/>
    <x v="0"/>
  </r>
  <r>
    <x v="4"/>
    <x v="2"/>
    <x v="2"/>
    <x v="13"/>
    <n v="1"/>
    <n v="2526.5648585636941"/>
    <n v="0"/>
    <n v="0"/>
    <x v="0"/>
  </r>
  <r>
    <x v="4"/>
    <x v="2"/>
    <x v="3"/>
    <x v="14"/>
    <n v="2"/>
    <n v="10502.509737836817"/>
    <n v="0"/>
    <n v="0"/>
    <x v="0"/>
  </r>
  <r>
    <x v="4"/>
    <x v="2"/>
    <x v="4"/>
    <x v="15"/>
    <n v="2"/>
    <n v="977.81297918194798"/>
    <n v="0"/>
    <n v="0"/>
    <x v="1"/>
  </r>
  <r>
    <x v="4"/>
    <x v="2"/>
    <x v="4"/>
    <x v="16"/>
    <n v="3"/>
    <n v="219.86468599281594"/>
    <n v="0"/>
    <n v="0"/>
    <x v="1"/>
  </r>
  <r>
    <x v="4"/>
    <x v="2"/>
    <x v="5"/>
    <x v="17"/>
    <n v="2"/>
    <n v="5803.4071656580936"/>
    <n v="0"/>
    <n v="0"/>
    <x v="0"/>
  </r>
  <r>
    <x v="4"/>
    <x v="3"/>
    <x v="0"/>
    <x v="0"/>
    <n v="255"/>
    <n v="0"/>
    <n v="0"/>
    <n v="0"/>
    <x v="0"/>
  </r>
  <r>
    <x v="4"/>
    <x v="3"/>
    <x v="0"/>
    <x v="1"/>
    <n v="165"/>
    <n v="5918.172768119166"/>
    <n v="0"/>
    <n v="0"/>
    <x v="0"/>
  </r>
  <r>
    <x v="4"/>
    <x v="3"/>
    <x v="0"/>
    <x v="2"/>
    <n v="75"/>
    <n v="0"/>
    <n v="0"/>
    <n v="0"/>
    <x v="0"/>
  </r>
  <r>
    <x v="4"/>
    <x v="3"/>
    <x v="0"/>
    <x v="3"/>
    <n v="15"/>
    <n v="2236.5761252850348"/>
    <n v="0"/>
    <n v="0"/>
    <x v="0"/>
  </r>
  <r>
    <x v="4"/>
    <x v="3"/>
    <x v="1"/>
    <x v="4"/>
    <n v="50"/>
    <n v="301695.29622367484"/>
    <n v="366427.10099874623"/>
    <n v="54320.480747612142"/>
    <x v="0"/>
  </r>
  <r>
    <x v="4"/>
    <x v="3"/>
    <x v="2"/>
    <x v="5"/>
    <n v="62.5"/>
    <n v="4520.8264200910298"/>
    <n v="0"/>
    <n v="0"/>
    <x v="0"/>
  </r>
  <r>
    <x v="4"/>
    <x v="3"/>
    <x v="2"/>
    <x v="6"/>
    <n v="1"/>
    <n v="1780.3836410758493"/>
    <n v="0"/>
    <n v="0"/>
    <x v="0"/>
  </r>
  <r>
    <x v="4"/>
    <x v="3"/>
    <x v="2"/>
    <x v="7"/>
    <n v="1"/>
    <n v="575.37790801158565"/>
    <n v="0"/>
    <n v="0"/>
    <x v="0"/>
  </r>
  <r>
    <x v="4"/>
    <x v="3"/>
    <x v="2"/>
    <x v="8"/>
    <n v="2"/>
    <n v="410.98422000827537"/>
    <n v="0"/>
    <n v="0"/>
    <x v="0"/>
  </r>
  <r>
    <x v="4"/>
    <x v="3"/>
    <x v="2"/>
    <x v="9"/>
    <n v="2"/>
    <n v="7139.9466573597674"/>
    <n v="0"/>
    <n v="0"/>
    <x v="0"/>
  </r>
  <r>
    <x v="4"/>
    <x v="3"/>
    <x v="2"/>
    <x v="10"/>
    <n v="1"/>
    <n v="91.89607159385038"/>
    <n v="0"/>
    <n v="0"/>
    <x v="0"/>
  </r>
  <r>
    <x v="4"/>
    <x v="3"/>
    <x v="2"/>
    <x v="11"/>
    <n v="4"/>
    <n v="657.57475201324075"/>
    <n v="0"/>
    <n v="0"/>
    <x v="0"/>
  </r>
  <r>
    <x v="4"/>
    <x v="3"/>
    <x v="2"/>
    <x v="12"/>
    <n v="5"/>
    <n v="98.636212801986105"/>
    <n v="0"/>
    <n v="0"/>
    <x v="0"/>
  </r>
  <r>
    <x v="4"/>
    <x v="3"/>
    <x v="2"/>
    <x v="13"/>
    <n v="1"/>
    <n v="3098.4922314863898"/>
    <n v="0"/>
    <n v="0"/>
    <x v="0"/>
  </r>
  <r>
    <x v="4"/>
    <x v="3"/>
    <x v="3"/>
    <x v="14"/>
    <n v="2"/>
    <n v="12879.916667683347"/>
    <n v="0"/>
    <n v="0"/>
    <x v="0"/>
  </r>
  <r>
    <x v="4"/>
    <x v="3"/>
    <x v="4"/>
    <x v="15"/>
    <n v="2"/>
    <n v="1199.1562019762216"/>
    <n v="0"/>
    <n v="0"/>
    <x v="1"/>
  </r>
  <r>
    <x v="4"/>
    <x v="3"/>
    <x v="4"/>
    <x v="16"/>
    <n v="3"/>
    <n v="269.63448779787598"/>
    <n v="0"/>
    <n v="0"/>
    <x v="1"/>
  </r>
  <r>
    <x v="4"/>
    <x v="3"/>
    <x v="5"/>
    <x v="17"/>
    <n v="2"/>
    <n v="7117.0989171306628"/>
    <n v="0"/>
    <n v="0"/>
    <x v="0"/>
  </r>
  <r>
    <x v="4"/>
    <x v="4"/>
    <x v="0"/>
    <x v="0"/>
    <n v="255"/>
    <n v="0"/>
    <n v="0"/>
    <n v="0"/>
    <x v="0"/>
  </r>
  <r>
    <x v="4"/>
    <x v="4"/>
    <x v="0"/>
    <x v="1"/>
    <n v="165"/>
    <n v="8606.652459562556"/>
    <n v="0"/>
    <n v="0"/>
    <x v="0"/>
  </r>
  <r>
    <x v="4"/>
    <x v="4"/>
    <x v="0"/>
    <x v="2"/>
    <n v="75"/>
    <n v="0"/>
    <n v="0"/>
    <n v="0"/>
    <x v="0"/>
  </r>
  <r>
    <x v="4"/>
    <x v="4"/>
    <x v="0"/>
    <x v="3"/>
    <n v="15"/>
    <n v="3252.5974086763495"/>
    <n v="0"/>
    <n v="0"/>
    <x v="0"/>
  </r>
  <r>
    <x v="4"/>
    <x v="4"/>
    <x v="1"/>
    <x v="4"/>
    <n v="50"/>
    <n v="438748.01649414457"/>
    <n v="53349.959766473701"/>
    <n v="7908.7912834005492"/>
    <x v="0"/>
  </r>
  <r>
    <x v="4"/>
    <x v="4"/>
    <x v="2"/>
    <x v="5"/>
    <n v="62.5"/>
    <n v="6574.5261843880644"/>
    <n v="0"/>
    <n v="0"/>
    <x v="0"/>
  </r>
  <r>
    <x v="4"/>
    <x v="4"/>
    <x v="2"/>
    <x v="6"/>
    <n v="1"/>
    <n v="2589.1679482517361"/>
    <n v="0"/>
    <n v="0"/>
    <x v="0"/>
  </r>
  <r>
    <x v="4"/>
    <x v="4"/>
    <x v="2"/>
    <x v="7"/>
    <n v="1"/>
    <n v="836.75787801302636"/>
    <n v="0"/>
    <n v="0"/>
    <x v="0"/>
  </r>
  <r>
    <x v="4"/>
    <x v="4"/>
    <x v="2"/>
    <x v="8"/>
    <n v="2"/>
    <n v="597.68419858073298"/>
    <n v="0"/>
    <n v="0"/>
    <x v="0"/>
  </r>
  <r>
    <x v="4"/>
    <x v="4"/>
    <x v="2"/>
    <x v="9"/>
    <n v="2"/>
    <n v="10383.44804510336"/>
    <n v="0"/>
    <n v="0"/>
    <x v="0"/>
  </r>
  <r>
    <x v="4"/>
    <x v="4"/>
    <x v="2"/>
    <x v="10"/>
    <n v="1"/>
    <n v="133.64218680265191"/>
    <n v="0"/>
    <n v="0"/>
    <x v="0"/>
  </r>
  <r>
    <x v="4"/>
    <x v="4"/>
    <x v="2"/>
    <x v="11"/>
    <n v="4"/>
    <n v="956.29471772917316"/>
    <n v="0"/>
    <n v="0"/>
    <x v="0"/>
  </r>
  <r>
    <x v="4"/>
    <x v="4"/>
    <x v="2"/>
    <x v="12"/>
    <n v="5"/>
    <n v="143.44420765937593"/>
    <n v="0"/>
    <n v="0"/>
    <x v="0"/>
  </r>
  <r>
    <x v="4"/>
    <x v="4"/>
    <x v="2"/>
    <x v="13"/>
    <n v="1"/>
    <n v="4506.060709939863"/>
    <n v="0"/>
    <n v="0"/>
    <x v="0"/>
  </r>
  <r>
    <x v="4"/>
    <x v="4"/>
    <x v="3"/>
    <x v="14"/>
    <n v="2"/>
    <n v="18730.944636161312"/>
    <n v="0"/>
    <n v="0"/>
    <x v="0"/>
  </r>
  <r>
    <x v="4"/>
    <x v="4"/>
    <x v="4"/>
    <x v="15"/>
    <n v="2"/>
    <n v="1743.903241678822"/>
    <n v="0"/>
    <n v="0"/>
    <x v="1"/>
  </r>
  <r>
    <x v="4"/>
    <x v="4"/>
    <x v="4"/>
    <x v="16"/>
    <n v="3"/>
    <n v="392.12277480131718"/>
    <n v="0"/>
    <n v="0"/>
    <x v="1"/>
  </r>
  <r>
    <x v="4"/>
    <x v="4"/>
    <x v="5"/>
    <x v="17"/>
    <n v="2"/>
    <n v="10350.221140897796"/>
    <n v="0"/>
    <n v="0"/>
    <x v="0"/>
  </r>
  <r>
    <x v="4"/>
    <x v="5"/>
    <x v="0"/>
    <x v="0"/>
    <n v="255"/>
    <n v="0"/>
    <n v="0"/>
    <n v="0"/>
    <x v="0"/>
  </r>
  <r>
    <x v="4"/>
    <x v="5"/>
    <x v="0"/>
    <x v="1"/>
    <n v="165"/>
    <n v="7153.5365184488664"/>
    <n v="0"/>
    <n v="0"/>
    <x v="0"/>
  </r>
  <r>
    <x v="4"/>
    <x v="5"/>
    <x v="0"/>
    <x v="2"/>
    <n v="75"/>
    <n v="0"/>
    <n v="0"/>
    <n v="0"/>
    <x v="0"/>
  </r>
  <r>
    <x v="4"/>
    <x v="5"/>
    <x v="0"/>
    <x v="3"/>
    <n v="15"/>
    <n v="2703.440675930467"/>
    <n v="0"/>
    <n v="0"/>
    <x v="0"/>
  </r>
  <r>
    <x v="4"/>
    <x v="5"/>
    <x v="1"/>
    <x v="4"/>
    <n v="50"/>
    <n v="364671.39496270439"/>
    <n v="716602.34942559537"/>
    <n v="106231.7280014719"/>
    <x v="0"/>
  </r>
  <r>
    <x v="4"/>
    <x v="5"/>
    <x v="2"/>
    <x v="5"/>
    <n v="62.5"/>
    <n v="5464.507062703995"/>
    <n v="0"/>
    <n v="0"/>
    <x v="0"/>
  </r>
  <r>
    <x v="4"/>
    <x v="5"/>
    <x v="2"/>
    <x v="6"/>
    <n v="1"/>
    <n v="2152.0222359667009"/>
    <n v="0"/>
    <n v="0"/>
    <x v="0"/>
  </r>
  <r>
    <x v="4"/>
    <x v="5"/>
    <x v="2"/>
    <x v="7"/>
    <n v="1"/>
    <n v="695.4827170714176"/>
    <n v="0"/>
    <n v="0"/>
    <x v="0"/>
  </r>
  <r>
    <x v="4"/>
    <x v="5"/>
    <x v="2"/>
    <x v="8"/>
    <n v="2"/>
    <n v="496.77336933672677"/>
    <n v="0"/>
    <n v="0"/>
    <x v="0"/>
  </r>
  <r>
    <x v="4"/>
    <x v="5"/>
    <x v="2"/>
    <x v="9"/>
    <n v="2"/>
    <n v="8630.3443908130885"/>
    <n v="0"/>
    <n v="0"/>
    <x v="0"/>
  </r>
  <r>
    <x v="4"/>
    <x v="5"/>
    <x v="2"/>
    <x v="10"/>
    <n v="1"/>
    <n v="111.07852538369211"/>
    <n v="0"/>
    <n v="0"/>
    <x v="0"/>
  </r>
  <r>
    <x v="4"/>
    <x v="5"/>
    <x v="2"/>
    <x v="11"/>
    <n v="4"/>
    <n v="794.83739093876306"/>
    <n v="0"/>
    <n v="0"/>
    <x v="0"/>
  </r>
  <r>
    <x v="4"/>
    <x v="5"/>
    <x v="2"/>
    <x v="12"/>
    <n v="5"/>
    <n v="119.22560864081443"/>
    <n v="0"/>
    <n v="0"/>
    <x v="0"/>
  </r>
  <r>
    <x v="4"/>
    <x v="5"/>
    <x v="2"/>
    <x v="13"/>
    <n v="1"/>
    <n v="3745.2737861034507"/>
    <n v="0"/>
    <n v="0"/>
    <x v="0"/>
  </r>
  <r>
    <x v="4"/>
    <x v="5"/>
    <x v="3"/>
    <x v="14"/>
    <n v="2"/>
    <n v="15568.479976317549"/>
    <n v="0"/>
    <n v="0"/>
    <x v="0"/>
  </r>
  <r>
    <x v="4"/>
    <x v="5"/>
    <x v="4"/>
    <x v="15"/>
    <n v="2"/>
    <n v="1449.4689523718578"/>
    <n v="0"/>
    <n v="0"/>
    <x v="1"/>
  </r>
  <r>
    <x v="4"/>
    <x v="5"/>
    <x v="4"/>
    <x v="16"/>
    <n v="3"/>
    <n v="325.91818973009788"/>
    <n v="0"/>
    <n v="0"/>
    <x v="1"/>
  </r>
  <r>
    <x v="4"/>
    <x v="5"/>
    <x v="5"/>
    <x v="17"/>
    <n v="2"/>
    <n v="8602.7273964303968"/>
    <n v="0"/>
    <n v="0"/>
    <x v="0"/>
  </r>
  <r>
    <x v="4"/>
    <x v="6"/>
    <x v="0"/>
    <x v="0"/>
    <n v="255"/>
    <n v="0"/>
    <n v="0"/>
    <n v="0"/>
    <x v="0"/>
  </r>
  <r>
    <x v="4"/>
    <x v="6"/>
    <x v="0"/>
    <x v="1"/>
    <n v="165"/>
    <n v="5774.4131871046047"/>
    <n v="0"/>
    <n v="0"/>
    <x v="0"/>
  </r>
  <r>
    <x v="4"/>
    <x v="6"/>
    <x v="0"/>
    <x v="2"/>
    <n v="75"/>
    <n v="0"/>
    <n v="0"/>
    <n v="0"/>
    <x v="0"/>
  </r>
  <r>
    <x v="4"/>
    <x v="6"/>
    <x v="0"/>
    <x v="3"/>
    <n v="15"/>
    <n v="2182.246983626615"/>
    <n v="0"/>
    <n v="0"/>
    <x v="0"/>
  </r>
  <r>
    <x v="4"/>
    <x v="6"/>
    <x v="1"/>
    <x v="4"/>
    <n v="100"/>
    <n v="294366.75224928802"/>
    <n v="449119.73991228826"/>
    <n v="66579.137074693339"/>
    <x v="0"/>
  </r>
  <r>
    <x v="4"/>
    <x v="6"/>
    <x v="2"/>
    <x v="5"/>
    <n v="62.5"/>
    <n v="4411.0100734826838"/>
    <n v="0"/>
    <n v="0"/>
    <x v="0"/>
  </r>
  <r>
    <x v="4"/>
    <x v="6"/>
    <x v="2"/>
    <x v="6"/>
    <n v="1"/>
    <n v="1737.1359671206353"/>
    <n v="0"/>
    <n v="0"/>
    <x v="0"/>
  </r>
  <r>
    <x v="4"/>
    <x v="6"/>
    <x v="2"/>
    <x v="7"/>
    <n v="1"/>
    <n v="561.40128207961436"/>
    <n v="0"/>
    <n v="0"/>
    <x v="0"/>
  </r>
  <r>
    <x v="4"/>
    <x v="6"/>
    <x v="2"/>
    <x v="8"/>
    <n v="2"/>
    <n v="401.00091577115302"/>
    <n v="0"/>
    <n v="0"/>
    <x v="0"/>
  </r>
  <r>
    <x v="4"/>
    <x v="6"/>
    <x v="2"/>
    <x v="9"/>
    <n v="2"/>
    <n v="6966.5087095090885"/>
    <n v="0"/>
    <n v="0"/>
    <x v="0"/>
  </r>
  <r>
    <x v="4"/>
    <x v="6"/>
    <x v="2"/>
    <x v="10"/>
    <n v="1"/>
    <n v="89.66380476642982"/>
    <n v="0"/>
    <n v="0"/>
    <x v="0"/>
  </r>
  <r>
    <x v="4"/>
    <x v="6"/>
    <x v="2"/>
    <x v="11"/>
    <n v="4"/>
    <n v="641.60146523384503"/>
    <n v="0"/>
    <n v="0"/>
    <x v="0"/>
  </r>
  <r>
    <x v="4"/>
    <x v="6"/>
    <x v="2"/>
    <x v="12"/>
    <n v="5"/>
    <n v="96.240219785076732"/>
    <n v="0"/>
    <n v="0"/>
    <x v="0"/>
  </r>
  <r>
    <x v="4"/>
    <x v="6"/>
    <x v="2"/>
    <x v="13"/>
    <n v="1"/>
    <n v="3023.226104181877"/>
    <n v="0"/>
    <n v="0"/>
    <x v="0"/>
  </r>
  <r>
    <x v="4"/>
    <x v="6"/>
    <x v="3"/>
    <x v="14"/>
    <n v="2"/>
    <n v="12567.047899535321"/>
    <n v="0"/>
    <n v="0"/>
    <x v="0"/>
  </r>
  <r>
    <x v="4"/>
    <x v="6"/>
    <x v="4"/>
    <x v="15"/>
    <n v="2"/>
    <n v="1170.0272461444874"/>
    <n v="0"/>
    <n v="0"/>
    <x v="1"/>
  </r>
  <r>
    <x v="4"/>
    <x v="6"/>
    <x v="4"/>
    <x v="16"/>
    <n v="3"/>
    <n v="263.08473967262523"/>
    <n v="0"/>
    <n v="0"/>
    <x v="1"/>
  </r>
  <r>
    <x v="4"/>
    <x v="6"/>
    <x v="5"/>
    <x v="17"/>
    <n v="2"/>
    <n v="6944.2159685493789"/>
    <n v="0"/>
    <n v="0"/>
    <x v="0"/>
  </r>
  <r>
    <x v="4"/>
    <x v="7"/>
    <x v="0"/>
    <x v="0"/>
    <n v="255"/>
    <n v="0"/>
    <n v="0"/>
    <n v="0"/>
    <x v="0"/>
  </r>
  <r>
    <x v="4"/>
    <x v="7"/>
    <x v="0"/>
    <x v="1"/>
    <n v="165"/>
    <n v="4441.5150040851831"/>
    <n v="0"/>
    <n v="0"/>
    <x v="0"/>
  </r>
  <r>
    <x v="4"/>
    <x v="7"/>
    <x v="0"/>
    <x v="2"/>
    <n v="75"/>
    <n v="0"/>
    <n v="0"/>
    <n v="0"/>
    <x v="0"/>
  </r>
  <r>
    <x v="4"/>
    <x v="7"/>
    <x v="0"/>
    <x v="3"/>
    <n v="15"/>
    <n v="1678.5225452938587"/>
    <n v="0"/>
    <n v="0"/>
    <x v="0"/>
  </r>
  <r>
    <x v="4"/>
    <x v="7"/>
    <x v="1"/>
    <x v="4"/>
    <n v="100"/>
    <n v="226418.56487492021"/>
    <n v="608807.39809804922"/>
    <n v="90251.813954945639"/>
    <x v="0"/>
  </r>
  <r>
    <x v="4"/>
    <x v="7"/>
    <x v="2"/>
    <x v="5"/>
    <n v="62.5"/>
    <n v="3392.8239614539593"/>
    <n v="0"/>
    <n v="0"/>
    <x v="0"/>
  </r>
  <r>
    <x v="4"/>
    <x v="7"/>
    <x v="2"/>
    <x v="6"/>
    <n v="1"/>
    <n v="1336.1557637289593"/>
    <n v="0"/>
    <n v="0"/>
    <x v="0"/>
  </r>
  <r>
    <x v="4"/>
    <x v="7"/>
    <x v="2"/>
    <x v="7"/>
    <n v="1"/>
    <n v="431.81395873050388"/>
    <n v="0"/>
    <n v="0"/>
    <x v="0"/>
  </r>
  <r>
    <x v="4"/>
    <x v="7"/>
    <x v="2"/>
    <x v="8"/>
    <n v="2"/>
    <n v="308.43854195035988"/>
    <n v="0"/>
    <n v="0"/>
    <x v="0"/>
  </r>
  <r>
    <x v="4"/>
    <x v="7"/>
    <x v="2"/>
    <x v="9"/>
    <n v="2"/>
    <n v="5358.4411015952128"/>
    <n v="0"/>
    <n v="0"/>
    <x v="0"/>
  </r>
  <r>
    <x v="4"/>
    <x v="7"/>
    <x v="2"/>
    <x v="10"/>
    <n v="1"/>
    <n v="68.966857980100485"/>
    <n v="0"/>
    <n v="0"/>
    <x v="0"/>
  </r>
  <r>
    <x v="4"/>
    <x v="7"/>
    <x v="2"/>
    <x v="11"/>
    <n v="4"/>
    <n v="493.50166712057597"/>
    <n v="0"/>
    <n v="0"/>
    <x v="0"/>
  </r>
  <r>
    <x v="4"/>
    <x v="7"/>
    <x v="2"/>
    <x v="12"/>
    <n v="5"/>
    <n v="74.025250068086379"/>
    <n v="0"/>
    <n v="0"/>
    <x v="0"/>
  </r>
  <r>
    <x v="4"/>
    <x v="7"/>
    <x v="2"/>
    <x v="13"/>
    <n v="1"/>
    <n v="2325.3798554721534"/>
    <n v="0"/>
    <n v="0"/>
    <x v="0"/>
  </r>
  <r>
    <x v="4"/>
    <x v="7"/>
    <x v="3"/>
    <x v="14"/>
    <n v="2"/>
    <n v="9666.2171538907205"/>
    <n v="0"/>
    <n v="0"/>
    <x v="0"/>
  </r>
  <r>
    <x v="4"/>
    <x v="7"/>
    <x v="4"/>
    <x v="15"/>
    <n v="2"/>
    <n v="899.95180472094432"/>
    <n v="0"/>
    <n v="0"/>
    <x v="1"/>
  </r>
  <r>
    <x v="4"/>
    <x v="7"/>
    <x v="4"/>
    <x v="16"/>
    <n v="3"/>
    <n v="202.35732718456779"/>
    <n v="0"/>
    <n v="0"/>
    <x v="1"/>
  </r>
  <r>
    <x v="4"/>
    <x v="7"/>
    <x v="5"/>
    <x v="17"/>
    <n v="2"/>
    <n v="5341.2941569193717"/>
    <n v="0"/>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9771072-14D9-42C6-9C18-15F625DB9962}" name="PivotTable6"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T3:AV6" firstHeaderRow="0" firstDataRow="1" firstDataCol="1"/>
  <pivotFields count="9">
    <pivotField numFmtId="1" showAll="0">
      <items count="6">
        <item x="0"/>
        <item h="1" x="1"/>
        <item h="1" x="2"/>
        <item h="1" x="3"/>
        <item h="1" x="4"/>
        <item t="default"/>
      </items>
    </pivotField>
    <pivotField showAll="0"/>
    <pivotField showAll="0"/>
    <pivotField showAll="0"/>
    <pivotField numFmtId="1" showAll="0"/>
    <pivotField dataField="1" numFmtId="164" showAll="0"/>
    <pivotField numFmtId="164" showAll="0"/>
    <pivotField numFmtId="164" showAll="0"/>
    <pivotField axis="axisRow" showAll="0">
      <items count="3">
        <item x="1"/>
        <item x="0"/>
        <item t="default"/>
      </items>
    </pivotField>
  </pivotFields>
  <rowFields count="1">
    <field x="8"/>
  </rowFields>
  <rowItems count="3">
    <i>
      <x/>
    </i>
    <i>
      <x v="1"/>
    </i>
    <i t="grand">
      <x/>
    </i>
  </rowItems>
  <colFields count="1">
    <field x="-2"/>
  </colFields>
  <colItems count="2">
    <i>
      <x/>
    </i>
    <i i="1">
      <x v="1"/>
    </i>
  </colItems>
  <dataFields count="2">
    <dataField name="Sum of Input Cost " fld="5" baseField="0" baseItem="0" numFmtId="164"/>
    <dataField name="Sum of Input Cost 2" fld="5" showDataAs="percentOfCol" baseField="0" baseItem="0" numFmtId="10"/>
  </dataField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95929B-E7ED-4BDF-B072-69AEB4EFB37C}" name="PivotTable1"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3:E10" firstHeaderRow="0" firstDataRow="1" firstDataCol="1"/>
  <pivotFields count="9">
    <pivotField numFmtId="1" showAll="0">
      <items count="6">
        <item x="0"/>
        <item h="1" x="1"/>
        <item h="1" x="2"/>
        <item h="1" x="3"/>
        <item h="1" x="4"/>
        <item t="default"/>
      </items>
    </pivotField>
    <pivotField showAll="0"/>
    <pivotField axis="axisRow" showAll="0">
      <items count="7">
        <item x="0"/>
        <item x="1"/>
        <item x="4"/>
        <item x="3"/>
        <item x="5"/>
        <item x="2"/>
        <item t="default"/>
      </items>
    </pivotField>
    <pivotField showAll="0"/>
    <pivotField numFmtId="1" showAll="0"/>
    <pivotField dataField="1" numFmtId="164" showAll="0"/>
    <pivotField numFmtId="164" showAll="0"/>
    <pivotField numFmtId="164" showAll="0"/>
    <pivotField showAll="0"/>
  </pivotFields>
  <rowFields count="1">
    <field x="2"/>
  </rowFields>
  <rowItems count="7">
    <i>
      <x/>
    </i>
    <i>
      <x v="1"/>
    </i>
    <i>
      <x v="2"/>
    </i>
    <i>
      <x v="3"/>
    </i>
    <i>
      <x v="4"/>
    </i>
    <i>
      <x v="5"/>
    </i>
    <i t="grand">
      <x/>
    </i>
  </rowItems>
  <colFields count="1">
    <field x="-2"/>
  </colFields>
  <colItems count="3">
    <i>
      <x/>
    </i>
    <i i="1">
      <x v="1"/>
    </i>
    <i i="2">
      <x v="2"/>
    </i>
  </colItems>
  <dataFields count="3">
    <dataField name="Sum of Input Cost " fld="5" baseField="0" baseItem="0" numFmtId="164"/>
    <dataField name="Sum of Input Cost 2" fld="5" baseField="0" baseItem="0" numFmtId="164"/>
    <dataField name="Sum of Input Cost 3" fld="5" showDataAs="percentOfCol" baseField="2" baseItem="0" numFmtId="10"/>
  </dataField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075C318-7CA6-4588-A4CD-35E191B40DDC}" name="PivotTable7"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Y3:BA28" firstHeaderRow="0" firstDataRow="1" firstDataCol="1"/>
  <pivotFields count="9">
    <pivotField numFmtId="1" showAll="0">
      <items count="6">
        <item x="0"/>
        <item h="1" x="1"/>
        <item h="1" x="2"/>
        <item h="1" x="3"/>
        <item h="1" x="4"/>
        <item t="default"/>
      </items>
    </pivotField>
    <pivotField showAll="0"/>
    <pivotField axis="axisRow" showAll="0">
      <items count="7">
        <item x="0"/>
        <item x="1"/>
        <item x="4"/>
        <item x="3"/>
        <item x="5"/>
        <item x="2"/>
        <item t="default"/>
      </items>
    </pivotField>
    <pivotField axis="axisRow" showAll="0">
      <items count="19">
        <item x="7"/>
        <item x="1"/>
        <item x="12"/>
        <item x="13"/>
        <item x="15"/>
        <item x="4"/>
        <item x="2"/>
        <item x="10"/>
        <item x="16"/>
        <item x="17"/>
        <item x="11"/>
        <item x="9"/>
        <item x="14"/>
        <item x="0"/>
        <item x="5"/>
        <item x="3"/>
        <item x="8"/>
        <item x="6"/>
        <item t="default"/>
      </items>
    </pivotField>
    <pivotField numFmtId="1" showAll="0"/>
    <pivotField dataField="1" numFmtId="164" showAll="0"/>
    <pivotField numFmtId="164" showAll="0"/>
    <pivotField numFmtId="164" showAll="0"/>
    <pivotField showAll="0"/>
  </pivotFields>
  <rowFields count="2">
    <field x="2"/>
    <field x="3"/>
  </rowFields>
  <rowItems count="25">
    <i>
      <x/>
    </i>
    <i r="1">
      <x v="1"/>
    </i>
    <i r="1">
      <x v="6"/>
    </i>
    <i r="1">
      <x v="13"/>
    </i>
    <i r="1">
      <x v="15"/>
    </i>
    <i>
      <x v="1"/>
    </i>
    <i r="1">
      <x v="5"/>
    </i>
    <i>
      <x v="2"/>
    </i>
    <i r="1">
      <x v="4"/>
    </i>
    <i r="1">
      <x v="8"/>
    </i>
    <i>
      <x v="3"/>
    </i>
    <i r="1">
      <x v="12"/>
    </i>
    <i>
      <x v="4"/>
    </i>
    <i r="1">
      <x v="9"/>
    </i>
    <i>
      <x v="5"/>
    </i>
    <i r="1">
      <x/>
    </i>
    <i r="1">
      <x v="2"/>
    </i>
    <i r="1">
      <x v="3"/>
    </i>
    <i r="1">
      <x v="7"/>
    </i>
    <i r="1">
      <x v="10"/>
    </i>
    <i r="1">
      <x v="11"/>
    </i>
    <i r="1">
      <x v="14"/>
    </i>
    <i r="1">
      <x v="16"/>
    </i>
    <i r="1">
      <x v="17"/>
    </i>
    <i t="grand">
      <x/>
    </i>
  </rowItems>
  <colFields count="1">
    <field x="-2"/>
  </colFields>
  <colItems count="2">
    <i>
      <x/>
    </i>
    <i i="1">
      <x v="1"/>
    </i>
  </colItems>
  <dataFields count="2">
    <dataField name="Sum of Input Cost " fld="5" baseField="0" baseItem="0" numFmtId="164"/>
    <dataField name="Sum of Input Cost 2" fld="5" showDataAs="percentOfCol" baseField="0" baseItem="0" numFmtId="171"/>
  </dataFields>
  <formats count="2">
    <format dxfId="1">
      <pivotArea outline="0" collapsedLevelsAreSubtotals="1" fieldPosition="0">
        <references count="1">
          <reference field="4294967294" count="1" selected="0">
            <x v="1"/>
          </reference>
        </references>
      </pivotArea>
    </format>
    <format dxfId="0">
      <pivotArea dataOnly="0" labelOnly="1" outline="0" fieldPosition="0">
        <references count="1">
          <reference field="4294967294" count="1">
            <x v="1"/>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96248D4-4FA0-4C03-8A3A-C6348E905611}" name="PivotTable3"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Z3:AB12" firstHeaderRow="0" firstDataRow="1" firstDataCol="1"/>
  <pivotFields count="9">
    <pivotField numFmtId="1" showAll="0">
      <items count="6">
        <item x="0"/>
        <item h="1" x="1"/>
        <item h="1" x="2"/>
        <item h="1" x="3"/>
        <item h="1" x="4"/>
        <item t="default"/>
      </items>
    </pivotField>
    <pivotField axis="axisRow" showAll="0">
      <items count="9">
        <item x="0"/>
        <item x="1"/>
        <item x="2"/>
        <item x="3"/>
        <item x="4"/>
        <item x="5"/>
        <item x="6"/>
        <item x="7"/>
        <item t="default"/>
      </items>
    </pivotField>
    <pivotField showAll="0"/>
    <pivotField showAll="0"/>
    <pivotField numFmtId="1" showAll="0"/>
    <pivotField dataField="1" numFmtId="164" showAll="0"/>
    <pivotField numFmtId="164" showAll="0"/>
    <pivotField numFmtId="164" showAll="0"/>
    <pivotField showAll="0"/>
  </pivotFields>
  <rowFields count="1">
    <field x="1"/>
  </rowFields>
  <rowItems count="9">
    <i>
      <x/>
    </i>
    <i>
      <x v="1"/>
    </i>
    <i>
      <x v="2"/>
    </i>
    <i>
      <x v="3"/>
    </i>
    <i>
      <x v="4"/>
    </i>
    <i>
      <x v="5"/>
    </i>
    <i>
      <x v="6"/>
    </i>
    <i>
      <x v="7"/>
    </i>
    <i t="grand">
      <x/>
    </i>
  </rowItems>
  <colFields count="1">
    <field x="-2"/>
  </colFields>
  <colItems count="2">
    <i>
      <x/>
    </i>
    <i i="1">
      <x v="1"/>
    </i>
  </colItems>
  <dataFields count="2">
    <dataField name="Sum of Input Cost " fld="5" baseField="0" baseItem="0" numFmtId="164"/>
    <dataField name="Sum of Input Cost 2" fld="5" baseField="0" baseItem="0" numFmtId="164"/>
  </dataFields>
  <chartFormats count="10">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0" format="4" series="1">
      <pivotArea type="data" outline="0" fieldPosition="0">
        <references count="1">
          <reference field="4294967294" count="1" selected="0">
            <x v="1"/>
          </reference>
        </references>
      </pivotArea>
    </chartFormat>
    <chartFormat chart="10" format="5" series="1">
      <pivotArea type="data" outline="0" fieldPosition="0">
        <references count="1">
          <reference field="4294967294" count="1" selected="0">
            <x v="0"/>
          </reference>
        </references>
      </pivotArea>
    </chartFormat>
    <chartFormat chart="15" format="8" series="1">
      <pivotArea type="data" outline="0" fieldPosition="0">
        <references count="1">
          <reference field="4294967294" count="1" selected="0">
            <x v="1"/>
          </reference>
        </references>
      </pivotArea>
    </chartFormat>
    <chartFormat chart="15" format="9" series="1">
      <pivotArea type="data" outline="0" fieldPosition="0">
        <references count="1">
          <reference field="4294967294" count="1" selected="0">
            <x v="0"/>
          </reference>
        </references>
      </pivotArea>
    </chartFormat>
    <chartFormat chart="16" format="8" series="1">
      <pivotArea type="data" outline="0" fieldPosition="0">
        <references count="1">
          <reference field="4294967294" count="1" selected="0">
            <x v="1"/>
          </reference>
        </references>
      </pivotArea>
    </chartFormat>
    <chartFormat chart="16" format="9" series="1">
      <pivotArea type="data" outline="0" fieldPosition="0">
        <references count="1">
          <reference field="4294967294" count="1" selected="0">
            <x v="0"/>
          </reference>
        </references>
      </pivotArea>
    </chartFormat>
    <chartFormat chart="17" format="8" series="1">
      <pivotArea type="data" outline="0" fieldPosition="0">
        <references count="1">
          <reference field="4294967294" count="1" selected="0">
            <x v="1"/>
          </reference>
        </references>
      </pivotArea>
    </chartFormat>
    <chartFormat chart="17" format="9" series="1">
      <pivotArea type="data" outline="0" fieldPosition="0">
        <references count="1">
          <reference field="4294967294" count="1" selected="0">
            <x v="0"/>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189B49A-9C8F-4FCD-93A0-C466709DBCDE}" name="PivotTable10"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3">
  <location ref="BM3:CF11" firstHeaderRow="1" firstDataRow="2" firstDataCol="1"/>
  <pivotFields count="9">
    <pivotField numFmtId="1" showAll="0">
      <items count="6">
        <item x="0"/>
        <item h="1" x="1"/>
        <item h="1" x="2"/>
        <item h="1" x="3"/>
        <item h="1" x="4"/>
        <item t="default"/>
      </items>
    </pivotField>
    <pivotField showAll="0"/>
    <pivotField axis="axisRow" showAll="0">
      <items count="7">
        <item x="0"/>
        <item x="1"/>
        <item x="4"/>
        <item x="3"/>
        <item x="5"/>
        <item x="2"/>
        <item t="default"/>
      </items>
    </pivotField>
    <pivotField axis="axisCol" showAll="0">
      <items count="19">
        <item x="7"/>
        <item x="1"/>
        <item x="12"/>
        <item x="13"/>
        <item x="15"/>
        <item x="4"/>
        <item x="2"/>
        <item x="10"/>
        <item x="16"/>
        <item x="17"/>
        <item x="11"/>
        <item x="9"/>
        <item x="14"/>
        <item x="0"/>
        <item x="5"/>
        <item x="3"/>
        <item x="8"/>
        <item x="6"/>
        <item t="default"/>
      </items>
    </pivotField>
    <pivotField numFmtId="1" showAll="0"/>
    <pivotField dataField="1" numFmtId="164" showAll="0"/>
    <pivotField numFmtId="164" showAll="0"/>
    <pivotField numFmtId="164" showAll="0"/>
    <pivotField showAll="0"/>
  </pivotFields>
  <rowFields count="1">
    <field x="2"/>
  </rowFields>
  <rowItems count="7">
    <i>
      <x/>
    </i>
    <i>
      <x v="1"/>
    </i>
    <i>
      <x v="2"/>
    </i>
    <i>
      <x v="3"/>
    </i>
    <i>
      <x v="4"/>
    </i>
    <i>
      <x v="5"/>
    </i>
    <i t="grand">
      <x/>
    </i>
  </rowItems>
  <colFields count="1">
    <field x="3"/>
  </colFields>
  <colItems count="19">
    <i>
      <x/>
    </i>
    <i>
      <x v="1"/>
    </i>
    <i>
      <x v="2"/>
    </i>
    <i>
      <x v="3"/>
    </i>
    <i>
      <x v="4"/>
    </i>
    <i>
      <x v="5"/>
    </i>
    <i>
      <x v="6"/>
    </i>
    <i>
      <x v="7"/>
    </i>
    <i>
      <x v="8"/>
    </i>
    <i>
      <x v="9"/>
    </i>
    <i>
      <x v="10"/>
    </i>
    <i>
      <x v="11"/>
    </i>
    <i>
      <x v="12"/>
    </i>
    <i>
      <x v="13"/>
    </i>
    <i>
      <x v="14"/>
    </i>
    <i>
      <x v="15"/>
    </i>
    <i>
      <x v="16"/>
    </i>
    <i>
      <x v="17"/>
    </i>
    <i t="grand">
      <x/>
    </i>
  </colItems>
  <dataFields count="1">
    <dataField name="Sum of Input Cost " fld="5" baseField="0" baseItem="0" numFmtId="164"/>
  </dataFields>
  <chartFormats count="35">
    <chartFormat chart="29" format="48" series="1">
      <pivotArea type="data" outline="0" fieldPosition="0">
        <references count="2">
          <reference field="4294967294" count="1" selected="0">
            <x v="0"/>
          </reference>
          <reference field="3" count="1" selected="0">
            <x v="0"/>
          </reference>
        </references>
      </pivotArea>
    </chartFormat>
    <chartFormat chart="29" format="49">
      <pivotArea type="data" outline="0" fieldPosition="0">
        <references count="3">
          <reference field="4294967294" count="1" selected="0">
            <x v="0"/>
          </reference>
          <reference field="2" count="1" selected="0">
            <x v="5"/>
          </reference>
          <reference field="3" count="1" selected="0">
            <x v="0"/>
          </reference>
        </references>
      </pivotArea>
    </chartFormat>
    <chartFormat chart="29" format="50" series="1">
      <pivotArea type="data" outline="0" fieldPosition="0">
        <references count="2">
          <reference field="4294967294" count="1" selected="0">
            <x v="0"/>
          </reference>
          <reference field="3" count="1" selected="0">
            <x v="1"/>
          </reference>
        </references>
      </pivotArea>
    </chartFormat>
    <chartFormat chart="29" format="51" series="1">
      <pivotArea type="data" outline="0" fieldPosition="0">
        <references count="2">
          <reference field="4294967294" count="1" selected="0">
            <x v="0"/>
          </reference>
          <reference field="3" count="1" selected="0">
            <x v="2"/>
          </reference>
        </references>
      </pivotArea>
    </chartFormat>
    <chartFormat chart="29" format="52">
      <pivotArea type="data" outline="0" fieldPosition="0">
        <references count="3">
          <reference field="4294967294" count="1" selected="0">
            <x v="0"/>
          </reference>
          <reference field="2" count="1" selected="0">
            <x v="5"/>
          </reference>
          <reference field="3" count="1" selected="0">
            <x v="2"/>
          </reference>
        </references>
      </pivotArea>
    </chartFormat>
    <chartFormat chart="29" format="53" series="1">
      <pivotArea type="data" outline="0" fieldPosition="0">
        <references count="2">
          <reference field="4294967294" count="1" selected="0">
            <x v="0"/>
          </reference>
          <reference field="3" count="1" selected="0">
            <x v="3"/>
          </reference>
        </references>
      </pivotArea>
    </chartFormat>
    <chartFormat chart="29" format="54" series="1">
      <pivotArea type="data" outline="0" fieldPosition="0">
        <references count="2">
          <reference field="4294967294" count="1" selected="0">
            <x v="0"/>
          </reference>
          <reference field="3" count="1" selected="0">
            <x v="4"/>
          </reference>
        </references>
      </pivotArea>
    </chartFormat>
    <chartFormat chart="29" format="55" series="1">
      <pivotArea type="data" outline="0" fieldPosition="0">
        <references count="2">
          <reference field="4294967294" count="1" selected="0">
            <x v="0"/>
          </reference>
          <reference field="3" count="1" selected="0">
            <x v="5"/>
          </reference>
        </references>
      </pivotArea>
    </chartFormat>
    <chartFormat chart="29" format="56" series="1">
      <pivotArea type="data" outline="0" fieldPosition="0">
        <references count="2">
          <reference field="4294967294" count="1" selected="0">
            <x v="0"/>
          </reference>
          <reference field="3" count="1" selected="0">
            <x v="6"/>
          </reference>
        </references>
      </pivotArea>
    </chartFormat>
    <chartFormat chart="29" format="57">
      <pivotArea type="data" outline="0" fieldPosition="0">
        <references count="3">
          <reference field="4294967294" count="1" selected="0">
            <x v="0"/>
          </reference>
          <reference field="2" count="1" selected="0">
            <x v="0"/>
          </reference>
          <reference field="3" count="1" selected="0">
            <x v="6"/>
          </reference>
        </references>
      </pivotArea>
    </chartFormat>
    <chartFormat chart="29" format="58" series="1">
      <pivotArea type="data" outline="0" fieldPosition="0">
        <references count="2">
          <reference field="4294967294" count="1" selected="0">
            <x v="0"/>
          </reference>
          <reference field="3" count="1" selected="0">
            <x v="7"/>
          </reference>
        </references>
      </pivotArea>
    </chartFormat>
    <chartFormat chart="29" format="59">
      <pivotArea type="data" outline="0" fieldPosition="0">
        <references count="3">
          <reference field="4294967294" count="1" selected="0">
            <x v="0"/>
          </reference>
          <reference field="2" count="1" selected="0">
            <x v="5"/>
          </reference>
          <reference field="3" count="1" selected="0">
            <x v="7"/>
          </reference>
        </references>
      </pivotArea>
    </chartFormat>
    <chartFormat chart="29" format="60" series="1">
      <pivotArea type="data" outline="0" fieldPosition="0">
        <references count="2">
          <reference field="4294967294" count="1" selected="0">
            <x v="0"/>
          </reference>
          <reference field="3" count="1" selected="0">
            <x v="8"/>
          </reference>
        </references>
      </pivotArea>
    </chartFormat>
    <chartFormat chart="29" format="61" series="1">
      <pivotArea type="data" outline="0" fieldPosition="0">
        <references count="2">
          <reference field="4294967294" count="1" selected="0">
            <x v="0"/>
          </reference>
          <reference field="3" count="1" selected="0">
            <x v="9"/>
          </reference>
        </references>
      </pivotArea>
    </chartFormat>
    <chartFormat chart="29" format="62" series="1">
      <pivotArea type="data" outline="0" fieldPosition="0">
        <references count="2">
          <reference field="4294967294" count="1" selected="0">
            <x v="0"/>
          </reference>
          <reference field="3" count="1" selected="0">
            <x v="10"/>
          </reference>
        </references>
      </pivotArea>
    </chartFormat>
    <chartFormat chart="29" format="63">
      <pivotArea type="data" outline="0" fieldPosition="0">
        <references count="3">
          <reference field="4294967294" count="1" selected="0">
            <x v="0"/>
          </reference>
          <reference field="2" count="1" selected="0">
            <x v="5"/>
          </reference>
          <reference field="3" count="1" selected="0">
            <x v="10"/>
          </reference>
        </references>
      </pivotArea>
    </chartFormat>
    <chartFormat chart="29" format="64" series="1">
      <pivotArea type="data" outline="0" fieldPosition="0">
        <references count="2">
          <reference field="4294967294" count="1" selected="0">
            <x v="0"/>
          </reference>
          <reference field="3" count="1" selected="0">
            <x v="11"/>
          </reference>
        </references>
      </pivotArea>
    </chartFormat>
    <chartFormat chart="29" format="65" series="1">
      <pivotArea type="data" outline="0" fieldPosition="0">
        <references count="2">
          <reference field="4294967294" count="1" selected="0">
            <x v="0"/>
          </reference>
          <reference field="3" count="1" selected="0">
            <x v="12"/>
          </reference>
        </references>
      </pivotArea>
    </chartFormat>
    <chartFormat chart="29" format="66" series="1">
      <pivotArea type="data" outline="0" fieldPosition="0">
        <references count="2">
          <reference field="4294967294" count="1" selected="0">
            <x v="0"/>
          </reference>
          <reference field="3" count="1" selected="0">
            <x v="13"/>
          </reference>
        </references>
      </pivotArea>
    </chartFormat>
    <chartFormat chart="29" format="67" series="1">
      <pivotArea type="data" outline="0" fieldPosition="0">
        <references count="2">
          <reference field="4294967294" count="1" selected="0">
            <x v="0"/>
          </reference>
          <reference field="3" count="1" selected="0">
            <x v="14"/>
          </reference>
        </references>
      </pivotArea>
    </chartFormat>
    <chartFormat chart="29" format="68" series="1">
      <pivotArea type="data" outline="0" fieldPosition="0">
        <references count="2">
          <reference field="4294967294" count="1" selected="0">
            <x v="0"/>
          </reference>
          <reference field="3" count="1" selected="0">
            <x v="15"/>
          </reference>
        </references>
      </pivotArea>
    </chartFormat>
    <chartFormat chart="29" format="69" series="1">
      <pivotArea type="data" outline="0" fieldPosition="0">
        <references count="2">
          <reference field="4294967294" count="1" selected="0">
            <x v="0"/>
          </reference>
          <reference field="3" count="1" selected="0">
            <x v="16"/>
          </reference>
        </references>
      </pivotArea>
    </chartFormat>
    <chartFormat chart="29" format="70">
      <pivotArea type="data" outline="0" fieldPosition="0">
        <references count="3">
          <reference field="4294967294" count="1" selected="0">
            <x v="0"/>
          </reference>
          <reference field="2" count="1" selected="0">
            <x v="5"/>
          </reference>
          <reference field="3" count="1" selected="0">
            <x v="16"/>
          </reference>
        </references>
      </pivotArea>
    </chartFormat>
    <chartFormat chart="29" format="71" series="1">
      <pivotArea type="data" outline="0" fieldPosition="0">
        <references count="2">
          <reference field="4294967294" count="1" selected="0">
            <x v="0"/>
          </reference>
          <reference field="3" count="1" selected="0">
            <x v="17"/>
          </reference>
        </references>
      </pivotArea>
    </chartFormat>
    <chartFormat chart="29" format="72">
      <pivotArea type="data" outline="0" fieldPosition="0">
        <references count="3">
          <reference field="4294967294" count="1" selected="0">
            <x v="0"/>
          </reference>
          <reference field="2" count="1" selected="0">
            <x v="0"/>
          </reference>
          <reference field="3" count="1" selected="0">
            <x v="15"/>
          </reference>
        </references>
      </pivotArea>
    </chartFormat>
    <chartFormat chart="29" format="73">
      <pivotArea type="data" outline="0" fieldPosition="0">
        <references count="3">
          <reference field="4294967294" count="1" selected="0">
            <x v="0"/>
          </reference>
          <reference field="2" count="1" selected="0">
            <x v="5"/>
          </reference>
          <reference field="3" count="1" selected="0">
            <x v="3"/>
          </reference>
        </references>
      </pivotArea>
    </chartFormat>
    <chartFormat chart="29" format="74">
      <pivotArea type="data" outline="0" fieldPosition="0">
        <references count="3">
          <reference field="4294967294" count="1" selected="0">
            <x v="0"/>
          </reference>
          <reference field="2" count="1" selected="0">
            <x v="5"/>
          </reference>
          <reference field="3" count="1" selected="0">
            <x v="11"/>
          </reference>
        </references>
      </pivotArea>
    </chartFormat>
    <chartFormat chart="29" format="75">
      <pivotArea type="data" outline="0" fieldPosition="0">
        <references count="3">
          <reference field="4294967294" count="1" selected="0">
            <x v="0"/>
          </reference>
          <reference field="2" count="1" selected="0">
            <x v="4"/>
          </reference>
          <reference field="3" count="1" selected="0">
            <x v="9"/>
          </reference>
        </references>
      </pivotArea>
    </chartFormat>
    <chartFormat chart="29" format="76">
      <pivotArea type="data" outline="0" fieldPosition="0">
        <references count="3">
          <reference field="4294967294" count="1" selected="0">
            <x v="0"/>
          </reference>
          <reference field="2" count="1" selected="0">
            <x v="3"/>
          </reference>
          <reference field="3" count="1" selected="0">
            <x v="12"/>
          </reference>
        </references>
      </pivotArea>
    </chartFormat>
    <chartFormat chart="29" format="77">
      <pivotArea type="data" outline="0" fieldPosition="0">
        <references count="3">
          <reference field="4294967294" count="1" selected="0">
            <x v="0"/>
          </reference>
          <reference field="2" count="1" selected="0">
            <x v="2"/>
          </reference>
          <reference field="3" count="1" selected="0">
            <x v="4"/>
          </reference>
        </references>
      </pivotArea>
    </chartFormat>
    <chartFormat chart="29" format="78">
      <pivotArea type="data" outline="0" fieldPosition="0">
        <references count="3">
          <reference field="4294967294" count="1" selected="0">
            <x v="0"/>
          </reference>
          <reference field="2" count="1" selected="0">
            <x v="1"/>
          </reference>
          <reference field="3" count="1" selected="0">
            <x v="5"/>
          </reference>
        </references>
      </pivotArea>
    </chartFormat>
    <chartFormat chart="29" format="79">
      <pivotArea type="data" outline="0" fieldPosition="0">
        <references count="3">
          <reference field="4294967294" count="1" selected="0">
            <x v="0"/>
          </reference>
          <reference field="2" count="1" selected="0">
            <x v="0"/>
          </reference>
          <reference field="3" count="1" selected="0">
            <x v="1"/>
          </reference>
        </references>
      </pivotArea>
    </chartFormat>
    <chartFormat chart="29" format="80">
      <pivotArea type="data" outline="0" fieldPosition="0">
        <references count="3">
          <reference field="4294967294" count="1" selected="0">
            <x v="0"/>
          </reference>
          <reference field="2" count="1" selected="0">
            <x v="0"/>
          </reference>
          <reference field="3" count="1" selected="0">
            <x v="13"/>
          </reference>
        </references>
      </pivotArea>
    </chartFormat>
    <chartFormat chart="29" format="81">
      <pivotArea type="data" outline="0" fieldPosition="0">
        <references count="3">
          <reference field="4294967294" count="1" selected="0">
            <x v="0"/>
          </reference>
          <reference field="2" count="1" selected="0">
            <x v="2"/>
          </reference>
          <reference field="3" count="1" selected="0">
            <x v="8"/>
          </reference>
        </references>
      </pivotArea>
    </chartFormat>
    <chartFormat chart="29" format="82">
      <pivotArea type="data" outline="0" fieldPosition="0">
        <references count="3">
          <reference field="4294967294" count="1" selected="0">
            <x v="0"/>
          </reference>
          <reference field="2" count="1" selected="0">
            <x v="5"/>
          </reference>
          <reference field="3" count="1" selected="0">
            <x v="17"/>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12CA0D-94FA-49EB-BE46-03C5FBF45F60}" name="PivotTable5"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L3:AN6" firstHeaderRow="0" firstDataRow="1" firstDataCol="1"/>
  <pivotFields count="9">
    <pivotField numFmtId="1" showAll="0">
      <items count="6">
        <item x="0"/>
        <item h="1" x="1"/>
        <item h="1" x="2"/>
        <item h="1" x="3"/>
        <item h="1" x="4"/>
        <item t="default"/>
      </items>
    </pivotField>
    <pivotField showAll="0"/>
    <pivotField showAll="0"/>
    <pivotField showAll="0"/>
    <pivotField numFmtId="1" showAll="0"/>
    <pivotField dataField="1" numFmtId="164" showAll="0"/>
    <pivotField numFmtId="164" showAll="0"/>
    <pivotField numFmtId="164" showAll="0"/>
    <pivotField axis="axisRow" showAll="0">
      <items count="3">
        <item x="1"/>
        <item x="0"/>
        <item t="default"/>
      </items>
    </pivotField>
  </pivotFields>
  <rowFields count="1">
    <field x="8"/>
  </rowFields>
  <rowItems count="3">
    <i>
      <x/>
    </i>
    <i>
      <x v="1"/>
    </i>
    <i t="grand">
      <x/>
    </i>
  </rowItems>
  <colFields count="1">
    <field x="-2"/>
  </colFields>
  <colItems count="2">
    <i>
      <x/>
    </i>
    <i i="1">
      <x v="1"/>
    </i>
  </colItems>
  <dataFields count="2">
    <dataField name="Sum of Input Cost " fld="5" baseField="0" baseItem="0" numFmtId="164"/>
    <dataField name="Sum of Input Cost 2" fld="5" showDataAs="percentOfCol" baseField="0" baseItem="0" numFmtId="10"/>
  </dataField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A7C9C02-E7B3-4A26-936B-77904F4CD567}" name="PivotTable2"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Q3:R4" firstHeaderRow="0" firstDataRow="1" firstDataCol="0"/>
  <pivotFields count="9">
    <pivotField numFmtId="1" showAll="0">
      <items count="6">
        <item x="0"/>
        <item h="1" x="1"/>
        <item h="1" x="2"/>
        <item h="1" x="3"/>
        <item h="1" x="4"/>
        <item t="default"/>
      </items>
    </pivotField>
    <pivotField showAll="0"/>
    <pivotField showAll="0"/>
    <pivotField showAll="0"/>
    <pivotField numFmtId="1" showAll="0"/>
    <pivotField dataField="1" numFmtId="164" showAll="0"/>
    <pivotField dataField="1" numFmtId="164" showAll="0"/>
    <pivotField numFmtId="164" showAll="0"/>
    <pivotField showAll="0"/>
  </pivotFields>
  <rowItems count="1">
    <i/>
  </rowItems>
  <colFields count="1">
    <field x="-2"/>
  </colFields>
  <colItems count="2">
    <i>
      <x/>
    </i>
    <i i="1">
      <x v="1"/>
    </i>
  </colItems>
  <dataFields count="2">
    <dataField name="Sum of Input Cost " fld="5" baseField="0" baseItem="0" numFmtId="164"/>
    <dataField name="Sum of Revenue" fld="6" baseField="0" baseItem="0" numFmtId="164"/>
  </dataField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11A9B5B-0385-4151-B46D-DB92EA09D6E1}" name="PivotTable4"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AF3:AG12" firstHeaderRow="1" firstDataRow="1" firstDataCol="1"/>
  <pivotFields count="9">
    <pivotField numFmtId="1" showAll="0">
      <items count="6">
        <item x="0"/>
        <item h="1" x="1"/>
        <item h="1" x="2"/>
        <item h="1" x="3"/>
        <item h="1" x="4"/>
        <item t="default"/>
      </items>
    </pivotField>
    <pivotField axis="axisRow" showAll="0">
      <items count="9">
        <item x="0"/>
        <item x="1"/>
        <item x="2"/>
        <item x="3"/>
        <item x="4"/>
        <item x="5"/>
        <item x="6"/>
        <item x="7"/>
        <item t="default"/>
      </items>
    </pivotField>
    <pivotField showAll="0"/>
    <pivotField showAll="0"/>
    <pivotField numFmtId="1" showAll="0"/>
    <pivotField numFmtId="164" showAll="0"/>
    <pivotField numFmtId="164" showAll="0"/>
    <pivotField dataField="1" numFmtId="164" showAll="0"/>
    <pivotField showAll="0"/>
  </pivotFields>
  <rowFields count="1">
    <field x="1"/>
  </rowFields>
  <rowItems count="9">
    <i>
      <x/>
    </i>
    <i>
      <x v="1"/>
    </i>
    <i>
      <x v="2"/>
    </i>
    <i>
      <x v="3"/>
    </i>
    <i>
      <x v="4"/>
    </i>
    <i>
      <x v="5"/>
    </i>
    <i>
      <x v="6"/>
    </i>
    <i>
      <x v="7"/>
    </i>
    <i t="grand">
      <x/>
    </i>
  </rowItems>
  <colItems count="1">
    <i/>
  </colItems>
  <dataFields count="1">
    <dataField name="Sum of Operating Profit" fld="7" baseField="0" baseItem="0" numFmtId="164"/>
  </dataFields>
  <chartFormats count="3">
    <chartFormat chart="17" format="2" series="1">
      <pivotArea type="data" outline="0" fieldPosition="0">
        <references count="1">
          <reference field="4294967294" count="1" selected="0">
            <x v="0"/>
          </reference>
        </references>
      </pivotArea>
    </chartFormat>
    <chartFormat chart="20" format="4" series="1">
      <pivotArea type="data" outline="0" fieldPosition="0">
        <references count="1">
          <reference field="4294967294" count="1" selected="0">
            <x v="0"/>
          </reference>
        </references>
      </pivotArea>
    </chartFormat>
    <chartFormat chart="22" format="6" series="1">
      <pivotArea type="data" outline="0" fieldPosition="0">
        <references count="1">
          <reference field="4294967294" count="1" selected="0">
            <x v="0"/>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74A62C1-55BD-46DE-B1CA-0F3E266AB5A1}" name="PivotTable11"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CH3:CJ9" firstHeaderRow="0" firstDataRow="1" firstDataCol="1" rowPageCount="1" colPageCount="1"/>
  <pivotFields count="9">
    <pivotField numFmtId="1" showAll="0">
      <items count="6">
        <item x="0"/>
        <item h="1" x="1"/>
        <item h="1" x="2"/>
        <item h="1" x="3"/>
        <item h="1" x="4"/>
        <item t="default"/>
      </items>
    </pivotField>
    <pivotField showAll="0"/>
    <pivotField axis="axisRow" showAll="0">
      <items count="7">
        <item x="0"/>
        <item h="1" x="1"/>
        <item x="4"/>
        <item x="3"/>
        <item x="5"/>
        <item x="2"/>
        <item t="default"/>
      </items>
    </pivotField>
    <pivotField axis="axisPage" showAll="0">
      <items count="19">
        <item x="7"/>
        <item x="1"/>
        <item x="12"/>
        <item x="13"/>
        <item x="15"/>
        <item x="4"/>
        <item x="2"/>
        <item x="10"/>
        <item x="16"/>
        <item x="17"/>
        <item x="11"/>
        <item x="9"/>
        <item x="14"/>
        <item x="0"/>
        <item x="5"/>
        <item x="3"/>
        <item x="8"/>
        <item x="6"/>
        <item t="default"/>
      </items>
    </pivotField>
    <pivotField numFmtId="1" showAll="0"/>
    <pivotField dataField="1" numFmtId="164" showAll="0"/>
    <pivotField numFmtId="164" showAll="0"/>
    <pivotField numFmtId="164" showAll="0"/>
    <pivotField showAll="0"/>
  </pivotFields>
  <rowFields count="1">
    <field x="2"/>
  </rowFields>
  <rowItems count="6">
    <i>
      <x/>
    </i>
    <i>
      <x v="2"/>
    </i>
    <i>
      <x v="3"/>
    </i>
    <i>
      <x v="4"/>
    </i>
    <i>
      <x v="5"/>
    </i>
    <i t="grand">
      <x/>
    </i>
  </rowItems>
  <colFields count="1">
    <field x="-2"/>
  </colFields>
  <colItems count="2">
    <i>
      <x/>
    </i>
    <i i="1">
      <x v="1"/>
    </i>
  </colItems>
  <pageFields count="1">
    <pageField fld="3" hier="-1"/>
  </pageFields>
  <dataFields count="2">
    <dataField name="Sum of Input Cost " fld="5" baseField="0" baseItem="0" numFmtId="164"/>
    <dataField name="Sum of Input Cost 2" fld="5" showDataAs="percentOfCol" baseField="0" baseItem="0" numFmtId="171"/>
  </dataFields>
  <formats count="2">
    <format dxfId="3">
      <pivotArea outline="0" collapsedLevelsAreSubtotals="1" fieldPosition="0">
        <references count="1">
          <reference field="4294967294" count="1" selected="0">
            <x v="1"/>
          </reference>
        </references>
      </pivotArea>
    </format>
    <format dxfId="2">
      <pivotArea dataOnly="0" labelOnly="1" outline="0" fieldPosition="0">
        <references count="1">
          <reference field="4294967294" count="1">
            <x v="1"/>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07A8A6D-01C7-439F-81A6-9C1CEB21E6DB}" name="PivotTable8"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G3:BH4" firstHeaderRow="0" firstDataRow="1" firstDataCol="0"/>
  <pivotFields count="9">
    <pivotField numFmtId="1" showAll="0">
      <items count="6">
        <item x="0"/>
        <item h="1" x="1"/>
        <item h="1" x="2"/>
        <item h="1" x="3"/>
        <item h="1" x="4"/>
        <item t="default"/>
      </items>
    </pivotField>
    <pivotField showAll="0"/>
    <pivotField showAll="0"/>
    <pivotField showAll="0"/>
    <pivotField numFmtId="1" showAll="0"/>
    <pivotField dataField="1" numFmtId="164" showAll="0"/>
    <pivotField dataField="1" numFmtId="164" showAll="0"/>
    <pivotField numFmtId="164" showAll="0"/>
    <pivotField showAll="0"/>
  </pivotFields>
  <rowItems count="1">
    <i/>
  </rowItems>
  <colFields count="1">
    <field x="-2"/>
  </colFields>
  <colItems count="2">
    <i>
      <x/>
    </i>
    <i i="1">
      <x v="1"/>
    </i>
  </colItems>
  <dataFields count="2">
    <dataField name="Sum of Input Cost " fld="5" baseField="0" baseItem="0" numFmtId="164"/>
    <dataField name="Sum of Revenue" fld="6" baseField="0" baseItem="0" numFmtId="164"/>
  </dataField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82011DE4-7B62-447F-871D-6FF265D0D4C4}" sourceName="Year ">
  <pivotTables>
    <pivotTable tabId="6" name="PivotTable1"/>
    <pivotTable tabId="6" name="PivotTable2"/>
    <pivotTable tabId="6" name="PivotTable3"/>
    <pivotTable tabId="6" name="PivotTable4"/>
    <pivotTable tabId="6" name="PivotTable5"/>
    <pivotTable tabId="6" name="PivotTable6"/>
    <pivotTable tabId="6" name="PivotTable7"/>
    <pivotTable tabId="6" name="PivotTable8"/>
    <pivotTable tabId="6" name="PivotTable10"/>
    <pivotTable tabId="6" name="PivotTable11"/>
  </pivotTables>
  <data>
    <tabular pivotCacheId="1508736542">
      <items count="5">
        <i x="0" s="1"/>
        <i x="1"/>
        <i x="2"/>
        <i x="3"/>
        <i x="4"/>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 xr10:uid="{DEAC48BB-38F7-4E59-805E-BEF5756263D9}" cache="Slicer_Year" caption="Year " columnCount="5" showCaption="0" rowHeight="2286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8E3353BB-3B6F-4856-A001-4CDB0F811A01}" cache="Slicer_Year" caption="Year " columnCount="5" showCaption="0" rowHeight="2286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17913CC5-5CCC-439D-AD5E-1CC06995AD8C}" cache="Slicer_Year" caption="Year " columnCount="5" showCaption="0" rowHeight="2286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3" xr10:uid="{FB42AEF3-BD6D-4375-AB5B-F0159315393E}" cache="Slicer_Year" caption="Year " columnCount="5" showCaption="0" rowHeight="2286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78D3FC4-43A2-4830-A079-8CB41F50BFB3}" name="Table1" displayName="Table1" ref="A1:E91" totalsRowShown="0" headerRowDxfId="17">
  <autoFilter ref="A1:E91" xr:uid="{478D3FC4-43A2-4830-A079-8CB41F50BFB3}"/>
  <tableColumns count="5">
    <tableColumn id="1" xr3:uid="{51965AE4-854D-4D7E-823F-E7979F955C47}" name="Year" dataDxfId="16"/>
    <tableColumn id="2" xr3:uid="{F32BA534-515B-4F48-837F-70A297BBDD74}" name="Production Input"/>
    <tableColumn id="3" xr3:uid="{60450150-4014-4458-9E4A-FEE8ECCCBC5E}" name="Input Type" dataDxfId="15"/>
    <tableColumn id="4" xr3:uid="{0ECF48C2-F757-4B30-92AC-8CE7EF1E4B5E}" name="Actual Cost"/>
    <tableColumn id="5" xr3:uid="{115AD448-EE07-4FA0-A88E-505938AF0C8C}" name="Estimated cost">
      <calculatedColumnFormula>D2*1.02</calculatedColumnFormula>
    </tableColumn>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39D44A7-286F-4EA0-98F9-5834714805A4}" name="Table2" displayName="Table2" ref="H1:P721" totalsRowShown="0" headerRowDxfId="14" dataDxfId="13">
  <autoFilter ref="H1:P721" xr:uid="{C39D44A7-286F-4EA0-98F9-5834714805A4}"/>
  <tableColumns count="9">
    <tableColumn id="1" xr3:uid="{91EB94BC-BDA3-472E-A5B8-0D258FC30E7F}" name="Year " dataDxfId="12"/>
    <tableColumn id="2" xr3:uid="{7CD27C5B-6232-4EC5-87E2-8DD4BD2FCA00}" name="Month" dataDxfId="11"/>
    <tableColumn id="3" xr3:uid="{26CB07A5-1322-4A63-A0CA-143FF0F06153}" name="Production Input" dataDxfId="10"/>
    <tableColumn id="4" xr3:uid="{A88EFB2D-B2AB-4647-A6C8-6746B211F3CB}" name="Input breakdown" dataDxfId="9"/>
    <tableColumn id="5" xr3:uid="{D501A893-6819-4E91-9271-2639D760486A}" name="Count" dataDxfId="8"/>
    <tableColumn id="6" xr3:uid="{5B777D31-4112-4247-8471-795676869841}" name="Input Cost " dataDxfId="7"/>
    <tableColumn id="7" xr3:uid="{0C0312A6-B293-49CF-B139-8C29635CC880}" name="Revenue" dataDxfId="6"/>
    <tableColumn id="8" xr3:uid="{2DBB10A6-6A6D-461E-AEE9-64DBE6413257}" name="Operating Profit" dataDxfId="5"/>
    <tableColumn id="9" xr3:uid="{E884C340-A417-45E0-BDC2-BACD4BE1DF77}" name="Cost Type" dataDxfId="4"/>
  </tableColumns>
  <tableStyleInfo name="TableStyleDark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6" dT="2023-10-19T22:36:25.40" personId="{79436E8C-AEC0-486D-8E58-C4D571AA1775}" id="{845BF214-B472-43D0-AB44-8876E7C5D1A0}">
    <text>At $2.5 per lb</text>
  </threadedComment>
  <threadedComment ref="D18" dT="2023-10-20T15:14:57.80" personId="{79436E8C-AEC0-486D-8E58-C4D571AA1775}" id="{2D4FFFFF-60CE-4D1A-B094-75C7C60AF230}">
    <text>At $1.90 per lb</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107B9-80C9-42CD-9ABA-1A9B974807C2}">
  <sheetPr codeName="Sheet1"/>
  <dimension ref="A1:Z1000"/>
  <sheetViews>
    <sheetView showGridLines="0" topLeftCell="A85" workbookViewId="0">
      <selection activeCell="E99" sqref="E99"/>
    </sheetView>
  </sheetViews>
  <sheetFormatPr defaultColWidth="10.9140625" defaultRowHeight="15" customHeight="1"/>
  <cols>
    <col min="1" max="1" width="24.58203125" customWidth="1"/>
    <col min="2" max="2" width="10.08203125" customWidth="1"/>
    <col min="3" max="3" width="10.5" customWidth="1"/>
    <col min="4" max="4" width="13.58203125" customWidth="1"/>
    <col min="5" max="5" width="12.58203125" customWidth="1"/>
    <col min="6" max="6" width="2.4140625" customWidth="1"/>
    <col min="7" max="7" width="9.4140625" customWidth="1"/>
    <col min="8" max="8" width="6.08203125" customWidth="1"/>
    <col min="9" max="26" width="8.58203125" customWidth="1"/>
    <col min="2000" max="2000" width="2.4140625" customWidth="1"/>
  </cols>
  <sheetData>
    <row r="1" spans="1:26" ht="15.5">
      <c r="A1" s="1"/>
      <c r="B1" s="1"/>
      <c r="C1" s="1"/>
      <c r="D1" s="1"/>
      <c r="E1" s="1"/>
      <c r="F1" s="1"/>
      <c r="G1" s="1"/>
      <c r="H1" s="1"/>
      <c r="I1" s="1"/>
      <c r="J1" s="1"/>
      <c r="K1" s="1"/>
      <c r="L1" s="1"/>
      <c r="M1" s="1"/>
      <c r="N1" s="1"/>
      <c r="O1" s="1"/>
      <c r="P1" s="1"/>
      <c r="Q1" s="1"/>
      <c r="R1" s="1"/>
      <c r="S1" s="1"/>
      <c r="T1" s="1"/>
      <c r="U1" s="1"/>
      <c r="V1" s="1"/>
      <c r="W1" s="1"/>
      <c r="X1" s="1"/>
      <c r="Y1" s="1"/>
      <c r="Z1" s="1"/>
    </row>
    <row r="2" spans="1:26" ht="18" customHeight="1">
      <c r="A2" s="177" t="s">
        <v>0</v>
      </c>
      <c r="B2" s="178"/>
      <c r="C2" s="178"/>
      <c r="D2" s="178"/>
      <c r="E2" s="178"/>
      <c r="F2" s="178"/>
      <c r="G2" s="178"/>
      <c r="H2" s="1"/>
      <c r="I2" s="1"/>
      <c r="J2" s="1"/>
      <c r="K2" s="1"/>
      <c r="L2" s="1"/>
      <c r="M2" s="1"/>
      <c r="N2" s="1"/>
      <c r="O2" s="1"/>
      <c r="P2" s="1"/>
      <c r="Q2" s="1"/>
      <c r="R2" s="1"/>
      <c r="S2" s="1"/>
      <c r="T2" s="1"/>
      <c r="U2" s="1"/>
      <c r="V2" s="1"/>
      <c r="W2" s="1"/>
      <c r="X2" s="1"/>
      <c r="Y2" s="1"/>
      <c r="Z2" s="1"/>
    </row>
    <row r="3" spans="1:26" ht="15.5">
      <c r="A3" s="1"/>
      <c r="B3" s="1"/>
      <c r="C3" s="1"/>
      <c r="D3" s="1"/>
      <c r="E3" s="1"/>
      <c r="F3" s="1"/>
      <c r="G3" s="1"/>
      <c r="H3" s="1"/>
      <c r="I3" s="1"/>
      <c r="J3" s="1"/>
      <c r="K3" s="1"/>
      <c r="L3" s="1"/>
      <c r="M3" s="1"/>
      <c r="N3" s="1"/>
      <c r="O3" s="1"/>
      <c r="P3" s="1"/>
      <c r="Q3" s="1"/>
      <c r="R3" s="1"/>
      <c r="S3" s="1"/>
      <c r="T3" s="1"/>
      <c r="U3" s="1"/>
      <c r="V3" s="1"/>
      <c r="W3" s="1"/>
      <c r="X3" s="1"/>
      <c r="Y3" s="1"/>
      <c r="Z3" s="1"/>
    </row>
    <row r="4" spans="1:26" ht="15.5">
      <c r="A4" s="1"/>
      <c r="B4" s="1"/>
      <c r="C4" s="1"/>
      <c r="D4" s="1"/>
      <c r="E4" s="1"/>
      <c r="F4" s="1"/>
      <c r="G4" s="1"/>
      <c r="H4" s="1"/>
      <c r="I4" s="1"/>
      <c r="J4" s="1"/>
      <c r="K4" s="1"/>
      <c r="L4" s="1"/>
      <c r="M4" s="1"/>
      <c r="N4" s="1"/>
      <c r="O4" s="1"/>
      <c r="P4" s="1"/>
      <c r="Q4" s="1"/>
      <c r="R4" s="1"/>
      <c r="S4" s="1"/>
      <c r="T4" s="1"/>
      <c r="U4" s="1"/>
      <c r="V4" s="1"/>
      <c r="W4" s="1"/>
      <c r="X4" s="1"/>
      <c r="Y4" s="1"/>
      <c r="Z4" s="1"/>
    </row>
    <row r="5" spans="1:26" ht="15.75" customHeight="1">
      <c r="A5" s="2" t="s">
        <v>1</v>
      </c>
      <c r="B5" s="1"/>
      <c r="C5" s="1"/>
      <c r="D5" s="1"/>
      <c r="E5" s="1"/>
      <c r="F5" s="1"/>
      <c r="G5" s="1"/>
      <c r="H5" s="1"/>
      <c r="I5" s="1"/>
      <c r="J5" s="1"/>
      <c r="K5" s="1"/>
      <c r="L5" s="1"/>
      <c r="M5" s="1"/>
      <c r="N5" s="1"/>
      <c r="O5" s="1"/>
      <c r="P5" s="1"/>
      <c r="Q5" s="1"/>
      <c r="R5" s="1"/>
      <c r="S5" s="1"/>
      <c r="T5" s="1"/>
      <c r="U5" s="1"/>
      <c r="V5" s="1"/>
      <c r="W5" s="1"/>
      <c r="X5" s="1"/>
      <c r="Y5" s="1"/>
      <c r="Z5" s="1"/>
    </row>
    <row r="6" spans="1:26" ht="15.5">
      <c r="A6" s="1" t="s">
        <v>2</v>
      </c>
      <c r="B6" s="1"/>
      <c r="C6" s="1"/>
      <c r="D6" s="1"/>
      <c r="E6" s="1"/>
      <c r="F6" s="1"/>
      <c r="G6" s="1"/>
      <c r="H6" s="1"/>
      <c r="I6" s="1"/>
      <c r="J6" s="1"/>
      <c r="K6" s="1"/>
      <c r="L6" s="1"/>
      <c r="M6" s="1"/>
      <c r="N6" s="1"/>
      <c r="O6" s="1"/>
      <c r="P6" s="1"/>
      <c r="Q6" s="1"/>
      <c r="R6" s="1"/>
      <c r="S6" s="1"/>
      <c r="T6" s="1"/>
      <c r="U6" s="1"/>
      <c r="V6" s="1"/>
      <c r="W6" s="1"/>
      <c r="X6" s="1"/>
      <c r="Y6" s="1"/>
      <c r="Z6" s="1"/>
    </row>
    <row r="7" spans="1:26" ht="15.5">
      <c r="A7" s="1" t="s">
        <v>3</v>
      </c>
      <c r="B7" s="1"/>
      <c r="C7" s="1"/>
      <c r="D7" s="1"/>
      <c r="E7" s="1"/>
      <c r="F7" s="1"/>
      <c r="G7" s="1"/>
      <c r="H7" s="1"/>
      <c r="I7" s="1"/>
      <c r="J7" s="1"/>
      <c r="K7" s="1"/>
      <c r="L7" s="1"/>
      <c r="M7" s="1"/>
      <c r="N7" s="1"/>
      <c r="O7" s="1"/>
      <c r="P7" s="1"/>
      <c r="Q7" s="1"/>
      <c r="R7" s="1"/>
      <c r="S7" s="1"/>
      <c r="T7" s="1"/>
      <c r="U7" s="1"/>
      <c r="V7" s="1"/>
      <c r="W7" s="1"/>
      <c r="X7" s="1"/>
      <c r="Y7" s="1"/>
      <c r="Z7" s="1"/>
    </row>
    <row r="8" spans="1:26" ht="15.5">
      <c r="A8" s="1" t="s">
        <v>4</v>
      </c>
      <c r="B8" s="1"/>
      <c r="C8" s="1"/>
      <c r="D8" s="1"/>
      <c r="E8" s="1"/>
      <c r="F8" s="1"/>
      <c r="G8" s="1"/>
      <c r="H8" s="1"/>
      <c r="I8" s="1"/>
      <c r="J8" s="1"/>
      <c r="K8" s="1"/>
      <c r="L8" s="1"/>
      <c r="M8" s="1"/>
      <c r="N8" s="1"/>
      <c r="O8" s="1"/>
      <c r="P8" s="1"/>
      <c r="Q8" s="1"/>
      <c r="R8" s="1"/>
      <c r="S8" s="1"/>
      <c r="T8" s="1"/>
      <c r="U8" s="1"/>
      <c r="V8" s="1"/>
      <c r="W8" s="1"/>
      <c r="X8" s="1"/>
      <c r="Y8" s="1"/>
      <c r="Z8" s="1"/>
    </row>
    <row r="9" spans="1:26" ht="15.5">
      <c r="A9" s="1"/>
      <c r="B9" s="1"/>
      <c r="C9" s="1"/>
      <c r="D9" s="1"/>
      <c r="E9" s="1"/>
      <c r="F9" s="1"/>
      <c r="G9" s="1"/>
      <c r="H9" s="1"/>
      <c r="I9" s="1"/>
      <c r="J9" s="1"/>
      <c r="K9" s="1"/>
      <c r="L9" s="1"/>
      <c r="M9" s="1"/>
      <c r="N9" s="1"/>
      <c r="O9" s="1"/>
      <c r="P9" s="1"/>
      <c r="Q9" s="1"/>
      <c r="R9" s="1"/>
      <c r="S9" s="1"/>
      <c r="T9" s="1"/>
      <c r="U9" s="1"/>
      <c r="V9" s="1"/>
      <c r="W9" s="1"/>
      <c r="X9" s="1"/>
      <c r="Y9" s="1"/>
      <c r="Z9" s="1"/>
    </row>
    <row r="10" spans="1:26" ht="15.5">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ht="15.75" customHeight="1">
      <c r="A11" s="3" t="s">
        <v>5</v>
      </c>
      <c r="B11" s="1"/>
      <c r="C11" s="1"/>
      <c r="D11" s="4" t="s">
        <v>6</v>
      </c>
      <c r="E11" s="1"/>
      <c r="F11" s="1"/>
      <c r="G11" s="1"/>
      <c r="H11" s="1"/>
      <c r="I11" s="1"/>
      <c r="J11" s="1"/>
      <c r="K11" s="1"/>
      <c r="L11" s="1"/>
      <c r="M11" s="1"/>
      <c r="N11" s="1"/>
      <c r="O11" s="1"/>
      <c r="P11" s="1"/>
      <c r="Q11" s="1"/>
      <c r="R11" s="1"/>
      <c r="S11" s="1"/>
      <c r="T11" s="1"/>
      <c r="U11" s="1"/>
      <c r="V11" s="1"/>
      <c r="W11" s="1"/>
      <c r="X11" s="1"/>
      <c r="Y11" s="1"/>
      <c r="Z11" s="1"/>
    </row>
    <row r="12" spans="1:26" ht="15.5">
      <c r="A12" s="5"/>
      <c r="B12" s="1"/>
      <c r="C12" s="1"/>
      <c r="D12" s="1"/>
      <c r="E12" s="1"/>
      <c r="F12" s="1"/>
      <c r="G12" s="1"/>
      <c r="H12" s="1"/>
      <c r="I12" s="1"/>
      <c r="J12" s="1"/>
      <c r="K12" s="1"/>
      <c r="L12" s="1"/>
      <c r="M12" s="1"/>
      <c r="N12" s="1"/>
      <c r="O12" s="1"/>
      <c r="P12" s="1"/>
      <c r="Q12" s="1"/>
      <c r="R12" s="1"/>
      <c r="S12" s="1"/>
      <c r="T12" s="1"/>
      <c r="U12" s="1"/>
      <c r="V12" s="1"/>
      <c r="W12" s="1"/>
      <c r="X12" s="1"/>
      <c r="Y12" s="1"/>
      <c r="Z12" s="1"/>
    </row>
    <row r="13" spans="1:26" ht="15.75" customHeight="1">
      <c r="A13" s="5" t="s">
        <v>7</v>
      </c>
      <c r="B13" s="1"/>
      <c r="C13" s="1"/>
      <c r="D13" s="6">
        <f>Production!$B$10</f>
        <v>1000</v>
      </c>
      <c r="E13" s="7" t="s">
        <v>8</v>
      </c>
      <c r="F13" s="7"/>
      <c r="G13" s="1"/>
      <c r="H13" s="1"/>
      <c r="I13" s="1"/>
      <c r="J13" s="1"/>
      <c r="K13" s="1"/>
      <c r="L13" s="1"/>
      <c r="M13" s="1"/>
      <c r="N13" s="1"/>
      <c r="O13" s="1"/>
      <c r="P13" s="1"/>
      <c r="Q13" s="1"/>
      <c r="R13" s="1"/>
      <c r="S13" s="1"/>
      <c r="T13" s="1"/>
      <c r="U13" s="1"/>
      <c r="V13" s="1"/>
      <c r="W13" s="1"/>
      <c r="X13" s="1"/>
      <c r="Y13" s="1"/>
      <c r="Z13" s="1"/>
    </row>
    <row r="14" spans="1:26" ht="15.75" customHeight="1">
      <c r="A14" s="5" t="s">
        <v>9</v>
      </c>
      <c r="B14" s="1"/>
      <c r="C14" s="1"/>
      <c r="D14" s="8">
        <f>Investment!H26</f>
        <v>1</v>
      </c>
      <c r="E14" s="7" t="s">
        <v>10</v>
      </c>
      <c r="F14" s="7"/>
      <c r="G14" s="1"/>
      <c r="H14" s="1"/>
      <c r="I14" s="1"/>
      <c r="J14" s="1"/>
      <c r="K14" s="1"/>
      <c r="L14" s="1"/>
      <c r="M14" s="1"/>
      <c r="N14" s="1"/>
      <c r="O14" s="1"/>
      <c r="P14" s="1"/>
      <c r="Q14" s="1"/>
      <c r="R14" s="1"/>
      <c r="S14" s="1"/>
      <c r="T14" s="1"/>
      <c r="U14" s="1"/>
      <c r="V14" s="1"/>
      <c r="W14" s="1"/>
      <c r="X14" s="1"/>
      <c r="Y14" s="1"/>
      <c r="Z14" s="1"/>
    </row>
    <row r="15" spans="1:26" ht="15.75" customHeight="1">
      <c r="A15" s="5" t="s">
        <v>11</v>
      </c>
      <c r="B15" s="1"/>
      <c r="C15" s="1"/>
      <c r="D15" s="6">
        <f>Investment!K11</f>
        <v>600</v>
      </c>
      <c r="E15" s="7" t="s">
        <v>12</v>
      </c>
      <c r="F15" s="7"/>
      <c r="G15" s="1"/>
      <c r="H15" s="1"/>
      <c r="I15" s="1"/>
      <c r="J15" s="1"/>
      <c r="K15" s="1"/>
      <c r="L15" s="1"/>
      <c r="M15" s="1"/>
      <c r="N15" s="1"/>
      <c r="O15" s="1"/>
      <c r="P15" s="1"/>
      <c r="Q15" s="1"/>
      <c r="R15" s="1"/>
      <c r="S15" s="1"/>
      <c r="T15" s="1"/>
      <c r="U15" s="1"/>
      <c r="V15" s="1"/>
      <c r="W15" s="1"/>
      <c r="X15" s="1"/>
      <c r="Y15" s="1"/>
      <c r="Z15" s="1"/>
    </row>
    <row r="16" spans="1:26" ht="15.75" customHeight="1">
      <c r="A16" s="5" t="s">
        <v>13</v>
      </c>
      <c r="B16" s="1"/>
      <c r="C16" s="1"/>
      <c r="D16" s="9">
        <f>Investment!H11</f>
        <v>304</v>
      </c>
      <c r="E16" s="7" t="s">
        <v>14</v>
      </c>
      <c r="F16" s="7"/>
      <c r="G16" s="1"/>
      <c r="H16" s="1"/>
      <c r="I16" s="1"/>
      <c r="J16" s="1"/>
      <c r="K16" s="1"/>
      <c r="L16" s="1"/>
      <c r="M16" s="1"/>
      <c r="N16" s="1"/>
      <c r="O16" s="1"/>
      <c r="P16" s="1"/>
      <c r="Q16" s="1"/>
      <c r="R16" s="1"/>
      <c r="S16" s="1"/>
      <c r="T16" s="1"/>
      <c r="U16" s="1"/>
      <c r="V16" s="1"/>
      <c r="W16" s="1"/>
      <c r="X16" s="1"/>
      <c r="Y16" s="1"/>
      <c r="Z16" s="1"/>
    </row>
    <row r="17" spans="1:26" ht="15.75" customHeight="1">
      <c r="A17" s="5" t="s">
        <v>15</v>
      </c>
      <c r="B17" s="1"/>
      <c r="C17" s="1"/>
      <c r="D17" s="6">
        <f>Investment!N11</f>
        <v>850</v>
      </c>
      <c r="E17" s="7" t="s">
        <v>12</v>
      </c>
      <c r="F17" s="7"/>
      <c r="G17" s="1"/>
      <c r="H17" s="1"/>
      <c r="I17" s="1"/>
      <c r="J17" s="1"/>
      <c r="K17" s="1"/>
      <c r="L17" s="1"/>
      <c r="M17" s="1"/>
      <c r="N17" s="1"/>
      <c r="O17" s="1"/>
      <c r="P17" s="1"/>
      <c r="Q17" s="1"/>
      <c r="R17" s="1"/>
      <c r="S17" s="1"/>
      <c r="T17" s="1"/>
      <c r="U17" s="1"/>
      <c r="V17" s="1"/>
      <c r="W17" s="1"/>
      <c r="X17" s="1"/>
      <c r="Y17" s="1"/>
      <c r="Z17" s="1"/>
    </row>
    <row r="18" spans="1:26" ht="15.75" customHeight="1">
      <c r="A18" s="5" t="s">
        <v>16</v>
      </c>
      <c r="B18" s="1"/>
      <c r="C18" s="1"/>
      <c r="D18" s="9">
        <f>Investment!K33</f>
        <v>277</v>
      </c>
      <c r="E18" s="7" t="s">
        <v>14</v>
      </c>
      <c r="F18" s="7"/>
      <c r="G18" s="1"/>
      <c r="H18" s="1"/>
      <c r="I18" s="1"/>
      <c r="J18" s="1"/>
      <c r="K18" s="1"/>
      <c r="L18" s="1"/>
      <c r="M18" s="1"/>
      <c r="N18" s="1"/>
      <c r="O18" s="1"/>
      <c r="P18" s="1"/>
      <c r="Q18" s="1"/>
      <c r="R18" s="1"/>
      <c r="S18" s="1"/>
      <c r="T18" s="1"/>
      <c r="U18" s="1"/>
      <c r="V18" s="1"/>
      <c r="W18" s="1"/>
      <c r="X18" s="1"/>
      <c r="Y18" s="1"/>
      <c r="Z18" s="1"/>
    </row>
    <row r="19" spans="1:26" ht="15.75" customHeight="1">
      <c r="A19" s="5" t="s">
        <v>17</v>
      </c>
      <c r="B19" s="5"/>
      <c r="C19" s="5"/>
      <c r="D19" s="10">
        <v>4.5</v>
      </c>
      <c r="E19" s="11" t="s">
        <v>14</v>
      </c>
      <c r="F19" s="11"/>
      <c r="G19" s="5"/>
      <c r="H19" s="5"/>
      <c r="I19" s="5"/>
      <c r="J19" s="5"/>
      <c r="K19" s="5"/>
      <c r="L19" s="5"/>
      <c r="M19" s="5"/>
      <c r="N19" s="5"/>
      <c r="O19" s="5"/>
      <c r="P19" s="5"/>
      <c r="Q19" s="5"/>
      <c r="R19" s="5"/>
      <c r="S19" s="5"/>
      <c r="T19" s="5"/>
      <c r="U19" s="5"/>
      <c r="V19" s="5"/>
      <c r="W19" s="5"/>
      <c r="X19" s="5"/>
      <c r="Y19" s="5"/>
      <c r="Z19" s="5"/>
    </row>
    <row r="20" spans="1:26" ht="15.75" customHeight="1">
      <c r="A20" s="5" t="s">
        <v>18</v>
      </c>
      <c r="B20" s="1"/>
      <c r="C20" s="1"/>
      <c r="D20" s="8">
        <f>Investment!K26</f>
        <v>2</v>
      </c>
      <c r="E20" s="7" t="s">
        <v>10</v>
      </c>
      <c r="F20" s="7"/>
      <c r="G20" s="1"/>
      <c r="H20" s="1"/>
      <c r="I20" s="1"/>
      <c r="J20" s="1"/>
      <c r="K20" s="1"/>
      <c r="L20" s="1"/>
      <c r="M20" s="1"/>
      <c r="N20" s="1"/>
      <c r="O20" s="1"/>
      <c r="P20" s="1"/>
      <c r="Q20" s="1"/>
      <c r="R20" s="1"/>
      <c r="S20" s="1"/>
      <c r="T20" s="1"/>
      <c r="U20" s="1"/>
      <c r="V20" s="1"/>
      <c r="W20" s="1"/>
      <c r="X20" s="1"/>
      <c r="Y20" s="1"/>
      <c r="Z20" s="1"/>
    </row>
    <row r="21" spans="1:26" ht="15.75" customHeight="1">
      <c r="A21" s="5" t="s">
        <v>19</v>
      </c>
      <c r="B21" s="1"/>
      <c r="C21" s="1"/>
      <c r="D21" s="8">
        <v>0</v>
      </c>
      <c r="E21" s="7" t="s">
        <v>10</v>
      </c>
      <c r="F21" s="7"/>
      <c r="G21" s="1"/>
      <c r="H21" s="1"/>
      <c r="I21" s="1"/>
      <c r="J21" s="1"/>
      <c r="K21" s="1"/>
      <c r="L21" s="1"/>
      <c r="M21" s="1"/>
      <c r="N21" s="1"/>
      <c r="O21" s="1"/>
      <c r="P21" s="1"/>
      <c r="Q21" s="1"/>
      <c r="R21" s="1"/>
      <c r="S21" s="1"/>
      <c r="T21" s="1"/>
      <c r="U21" s="1"/>
      <c r="V21" s="1"/>
      <c r="W21" s="1"/>
      <c r="X21" s="1"/>
      <c r="Y21" s="1"/>
      <c r="Z21" s="1"/>
    </row>
    <row r="22" spans="1:26" ht="15.75" customHeight="1">
      <c r="A22" s="5" t="s">
        <v>20</v>
      </c>
      <c r="B22" s="1"/>
      <c r="C22" s="1"/>
      <c r="D22" s="8">
        <f>Investment!Q11</f>
        <v>2.5</v>
      </c>
      <c r="E22" s="7" t="s">
        <v>21</v>
      </c>
      <c r="F22" s="7"/>
      <c r="G22" s="1"/>
      <c r="H22" s="1"/>
      <c r="I22" s="1"/>
      <c r="J22" s="1"/>
      <c r="K22" s="1"/>
      <c r="L22" s="1"/>
      <c r="M22" s="1"/>
      <c r="N22" s="1"/>
      <c r="O22" s="1"/>
      <c r="P22" s="1"/>
      <c r="Q22" s="1"/>
      <c r="R22" s="1"/>
      <c r="S22" s="1"/>
      <c r="T22" s="1"/>
      <c r="U22" s="1"/>
      <c r="V22" s="1"/>
      <c r="W22" s="1"/>
      <c r="X22" s="1"/>
      <c r="Y22" s="1"/>
      <c r="Z22" s="1"/>
    </row>
    <row r="23" spans="1:26" ht="15.75" customHeight="1">
      <c r="A23" s="1" t="s">
        <v>22</v>
      </c>
      <c r="B23" s="1"/>
      <c r="C23" s="1"/>
      <c r="D23" s="143">
        <f>ROUND((D17-(D15-(D15*D21/100)))/D22,0)</f>
        <v>100</v>
      </c>
      <c r="E23" s="7" t="s">
        <v>23</v>
      </c>
      <c r="F23" s="7"/>
      <c r="G23" s="1"/>
      <c r="H23" s="1"/>
      <c r="I23" s="1"/>
      <c r="J23" s="1"/>
      <c r="K23" s="1"/>
      <c r="L23" s="1"/>
      <c r="M23" s="1"/>
      <c r="N23" s="1"/>
      <c r="O23" s="1"/>
      <c r="P23" s="1"/>
      <c r="Q23" s="1"/>
      <c r="R23" s="1"/>
      <c r="S23" s="1"/>
      <c r="T23" s="1"/>
      <c r="U23" s="1"/>
      <c r="V23" s="1"/>
      <c r="W23" s="1"/>
      <c r="X23" s="1"/>
      <c r="Y23" s="1"/>
      <c r="Z23" s="1"/>
    </row>
    <row r="24" spans="1:26"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5.75" customHeight="1">
      <c r="A25" s="1" t="s">
        <v>24</v>
      </c>
      <c r="B25" s="1"/>
      <c r="C25" s="1"/>
      <c r="D25" s="1"/>
      <c r="E25" s="1"/>
      <c r="F25" s="1"/>
      <c r="G25" s="1"/>
      <c r="H25" s="1"/>
      <c r="I25" s="1"/>
      <c r="J25" s="1"/>
      <c r="K25" s="1"/>
      <c r="L25" s="1"/>
      <c r="M25" s="1"/>
      <c r="N25" s="1"/>
      <c r="O25" s="1"/>
      <c r="P25" s="1"/>
      <c r="Q25" s="1"/>
      <c r="R25" s="1"/>
      <c r="S25" s="1"/>
      <c r="T25" s="1"/>
      <c r="U25" s="1"/>
      <c r="V25" s="1"/>
      <c r="W25" s="1"/>
      <c r="X25" s="1"/>
      <c r="Y25" s="1"/>
      <c r="Z25" s="1"/>
    </row>
    <row r="26" spans="1: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c r="A27" s="1"/>
      <c r="B27" s="1"/>
      <c r="C27" s="2"/>
      <c r="D27" s="179" t="s">
        <v>25</v>
      </c>
      <c r="E27" s="180"/>
      <c r="F27" s="13"/>
      <c r="G27" s="14" t="s">
        <v>26</v>
      </c>
      <c r="H27" s="1"/>
      <c r="I27" s="1"/>
      <c r="J27" s="1"/>
      <c r="K27" s="1"/>
      <c r="L27" s="1"/>
      <c r="M27" s="1"/>
      <c r="N27" s="1"/>
      <c r="O27" s="1"/>
      <c r="P27" s="1"/>
      <c r="Q27" s="1"/>
      <c r="R27" s="1"/>
      <c r="S27" s="1"/>
      <c r="T27" s="1"/>
      <c r="U27" s="1"/>
      <c r="V27" s="1"/>
      <c r="W27" s="1"/>
      <c r="X27" s="1"/>
      <c r="Y27" s="1"/>
      <c r="Z27" s="1"/>
    </row>
    <row r="28" spans="1:26" ht="15.75" customHeight="1">
      <c r="A28" s="3" t="s">
        <v>27</v>
      </c>
      <c r="B28" s="4" t="s">
        <v>28</v>
      </c>
      <c r="C28" s="1"/>
      <c r="D28" s="179" t="s">
        <v>29</v>
      </c>
      <c r="E28" s="180"/>
      <c r="F28" s="15"/>
      <c r="G28" s="4" t="s">
        <v>30</v>
      </c>
      <c r="H28" s="1"/>
      <c r="I28" s="1"/>
      <c r="J28" s="1"/>
      <c r="K28" s="1"/>
      <c r="L28" s="1"/>
      <c r="M28" s="1"/>
      <c r="N28" s="1"/>
      <c r="O28" s="1"/>
      <c r="P28" s="1"/>
      <c r="Q28" s="1"/>
      <c r="R28" s="1"/>
      <c r="S28" s="1"/>
      <c r="T28" s="1"/>
      <c r="U28" s="1"/>
      <c r="V28" s="1"/>
      <c r="W28" s="1"/>
      <c r="X28" s="1"/>
      <c r="Y28" s="1"/>
      <c r="Z28" s="1"/>
    </row>
    <row r="29" spans="1:26" ht="15.75" customHeight="1">
      <c r="A29" s="5"/>
      <c r="B29" s="1"/>
      <c r="C29" s="1"/>
      <c r="D29" s="1"/>
      <c r="E29" s="7"/>
      <c r="F29" s="7"/>
      <c r="G29" s="1"/>
      <c r="H29" s="1"/>
      <c r="I29" s="1"/>
      <c r="J29" s="1"/>
      <c r="K29" s="1"/>
      <c r="L29" s="1"/>
      <c r="M29" s="1"/>
      <c r="N29" s="1"/>
      <c r="O29" s="1"/>
      <c r="P29" s="1"/>
      <c r="Q29" s="1"/>
      <c r="R29" s="1"/>
      <c r="S29" s="1"/>
      <c r="T29" s="1"/>
      <c r="U29" s="1"/>
      <c r="V29" s="1"/>
      <c r="W29" s="1"/>
      <c r="X29" s="1"/>
      <c r="Y29" s="1"/>
      <c r="Z29" s="1"/>
    </row>
    <row r="30" spans="1:26" ht="15.75" customHeight="1">
      <c r="A30" s="5" t="s">
        <v>31</v>
      </c>
      <c r="B30" s="9">
        <f>Investment!H18</f>
        <v>6.5</v>
      </c>
      <c r="C30" s="16" t="s">
        <v>32</v>
      </c>
      <c r="D30" s="8">
        <v>0</v>
      </c>
      <c r="E30" s="7" t="s">
        <v>33</v>
      </c>
      <c r="F30" s="7"/>
      <c r="G30" s="12">
        <f>D23</f>
        <v>100</v>
      </c>
      <c r="H30" s="1"/>
      <c r="I30" s="1"/>
      <c r="J30" s="1"/>
      <c r="K30" s="1"/>
      <c r="L30" s="1"/>
      <c r="M30" s="1"/>
      <c r="N30" s="1"/>
      <c r="O30" s="1"/>
      <c r="P30" s="1"/>
      <c r="Q30" s="1"/>
      <c r="R30" s="1"/>
      <c r="S30" s="1"/>
      <c r="T30" s="1"/>
      <c r="U30" s="1"/>
      <c r="V30" s="1"/>
      <c r="W30" s="1"/>
      <c r="X30" s="1"/>
      <c r="Y30" s="1"/>
      <c r="Z30" s="1"/>
    </row>
    <row r="31" spans="1:26" ht="15.75" customHeight="1">
      <c r="A31" s="5" t="s">
        <v>34</v>
      </c>
      <c r="B31" s="9">
        <f>Investment!K18</f>
        <v>45</v>
      </c>
      <c r="C31" s="16" t="s">
        <v>35</v>
      </c>
      <c r="D31" s="8">
        <v>16</v>
      </c>
      <c r="E31" s="7" t="s">
        <v>33</v>
      </c>
      <c r="F31" s="7"/>
      <c r="G31" s="12">
        <f>D23</f>
        <v>100</v>
      </c>
      <c r="H31" s="1"/>
      <c r="I31" s="1"/>
      <c r="J31" s="1"/>
      <c r="K31" s="1"/>
      <c r="L31" s="1"/>
      <c r="M31" s="1"/>
      <c r="N31" s="1"/>
      <c r="O31" s="1"/>
      <c r="P31" s="1"/>
      <c r="Q31" s="1"/>
      <c r="R31" s="1"/>
      <c r="S31" s="1"/>
      <c r="T31" s="1"/>
      <c r="U31" s="1"/>
      <c r="V31" s="1"/>
      <c r="W31" s="1"/>
      <c r="X31" s="1"/>
      <c r="Y31" s="1"/>
      <c r="Z31" s="1"/>
    </row>
    <row r="32" spans="1:26" ht="15.75" customHeight="1">
      <c r="A32" s="1" t="s">
        <v>36</v>
      </c>
      <c r="B32" s="9">
        <f>Investment!N18</f>
        <v>170</v>
      </c>
      <c r="C32" s="16" t="s">
        <v>35</v>
      </c>
      <c r="D32" s="8">
        <v>0</v>
      </c>
      <c r="E32" s="7" t="s">
        <v>33</v>
      </c>
      <c r="F32" s="7"/>
      <c r="G32" s="6">
        <v>20</v>
      </c>
      <c r="H32" s="1"/>
      <c r="I32" s="1"/>
      <c r="J32" s="1"/>
      <c r="K32" s="1"/>
      <c r="L32" s="1"/>
      <c r="M32" s="1"/>
      <c r="N32" s="1"/>
      <c r="O32" s="1"/>
      <c r="P32" s="1"/>
      <c r="Q32" s="1"/>
      <c r="R32" s="1"/>
      <c r="S32" s="1"/>
      <c r="T32" s="1"/>
      <c r="U32" s="1"/>
      <c r="V32" s="1"/>
      <c r="W32" s="1"/>
      <c r="X32" s="1"/>
      <c r="Y32" s="1"/>
      <c r="Z32" s="1"/>
    </row>
    <row r="33" spans="1:26" ht="15.75" customHeight="1">
      <c r="A33" s="1" t="s">
        <v>37</v>
      </c>
      <c r="B33" s="9">
        <f>Investment!Q18</f>
        <v>300</v>
      </c>
      <c r="C33" s="16" t="s">
        <v>38</v>
      </c>
      <c r="D33" s="8">
        <v>1</v>
      </c>
      <c r="E33" s="7" t="s">
        <v>33</v>
      </c>
      <c r="F33" s="7"/>
      <c r="G33" s="12">
        <f>D23</f>
        <v>100</v>
      </c>
      <c r="H33" s="1"/>
      <c r="I33" s="1"/>
      <c r="J33" s="1"/>
      <c r="K33" s="1"/>
      <c r="L33" s="1"/>
      <c r="M33" s="1"/>
      <c r="N33" s="1"/>
      <c r="O33" s="1"/>
      <c r="P33" s="1"/>
      <c r="Q33" s="1"/>
      <c r="R33" s="1"/>
      <c r="S33" s="1"/>
      <c r="T33" s="1"/>
      <c r="U33" s="1"/>
      <c r="V33" s="1"/>
      <c r="W33" s="1"/>
      <c r="X33" s="1"/>
      <c r="Y33" s="1"/>
      <c r="Z33" s="1"/>
    </row>
    <row r="34" spans="1:26" ht="15.75" customHeight="1">
      <c r="A34" s="1" t="s">
        <v>39</v>
      </c>
      <c r="B34" s="9">
        <v>0</v>
      </c>
      <c r="C34" s="1"/>
      <c r="D34" s="8">
        <v>0</v>
      </c>
      <c r="E34" s="7" t="s">
        <v>33</v>
      </c>
      <c r="F34" s="7"/>
      <c r="G34" s="6"/>
      <c r="H34" s="1"/>
      <c r="I34" s="1"/>
      <c r="J34" s="1"/>
      <c r="K34" s="1"/>
      <c r="L34" s="1"/>
      <c r="M34" s="1"/>
      <c r="N34" s="1"/>
      <c r="O34" s="1"/>
      <c r="P34" s="1"/>
      <c r="Q34" s="1"/>
      <c r="R34" s="1"/>
      <c r="S34" s="1"/>
      <c r="T34" s="1"/>
      <c r="U34" s="1"/>
      <c r="V34" s="1"/>
      <c r="W34" s="1"/>
      <c r="X34" s="1"/>
      <c r="Y34" s="1"/>
      <c r="Z34" s="1"/>
    </row>
    <row r="35" spans="1:26" ht="15.75" customHeight="1">
      <c r="A35" s="1" t="s">
        <v>40</v>
      </c>
      <c r="B35" s="9">
        <v>0</v>
      </c>
      <c r="C35" s="1" t="s">
        <v>41</v>
      </c>
      <c r="D35" s="8">
        <v>0</v>
      </c>
      <c r="E35" s="7" t="s">
        <v>42</v>
      </c>
      <c r="F35" s="7"/>
      <c r="G35" s="6"/>
      <c r="H35" s="1"/>
      <c r="I35" s="1"/>
      <c r="J35" s="1"/>
      <c r="K35" s="1"/>
      <c r="L35" s="1"/>
      <c r="M35" s="1"/>
      <c r="N35" s="1"/>
      <c r="O35" s="1"/>
      <c r="P35" s="1"/>
      <c r="Q35" s="1"/>
      <c r="R35" s="1"/>
      <c r="S35" s="1"/>
      <c r="T35" s="1"/>
      <c r="U35" s="1"/>
      <c r="V35" s="1"/>
      <c r="W35" s="1"/>
      <c r="X35" s="1"/>
      <c r="Y35" s="1"/>
      <c r="Z35" s="1"/>
    </row>
    <row r="36" spans="1:2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c r="A37" s="1" t="s">
        <v>43</v>
      </c>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c r="A38" s="1" t="s">
        <v>44</v>
      </c>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c r="A39" s="1" t="s">
        <v>45</v>
      </c>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c r="A41" s="3" t="s">
        <v>46</v>
      </c>
      <c r="B41" s="1"/>
      <c r="C41" s="1"/>
      <c r="D41" s="1"/>
      <c r="E41" s="17" t="s">
        <v>6</v>
      </c>
      <c r="F41" s="1"/>
      <c r="G41" s="1"/>
      <c r="H41" s="1"/>
      <c r="I41" s="1"/>
      <c r="J41" s="1"/>
      <c r="K41" s="1"/>
      <c r="L41" s="1"/>
      <c r="M41" s="1"/>
      <c r="N41" s="1"/>
      <c r="O41" s="1"/>
      <c r="P41" s="1"/>
      <c r="Q41" s="1"/>
      <c r="R41" s="1"/>
      <c r="S41" s="1"/>
      <c r="T41" s="1"/>
      <c r="U41" s="1"/>
      <c r="V41" s="1"/>
      <c r="W41" s="1"/>
      <c r="X41" s="1"/>
      <c r="Y41" s="1"/>
      <c r="Z41" s="1"/>
    </row>
    <row r="42" spans="1:26" ht="15.75" customHeight="1">
      <c r="A42" s="3"/>
      <c r="B42" s="1"/>
      <c r="C42" s="1"/>
      <c r="D42" s="1"/>
      <c r="E42" s="17"/>
      <c r="F42" s="1"/>
      <c r="G42" s="1"/>
      <c r="H42" s="1"/>
      <c r="I42" s="1"/>
      <c r="J42" s="1"/>
      <c r="K42" s="1"/>
      <c r="L42" s="1"/>
      <c r="M42" s="1"/>
      <c r="N42" s="1"/>
      <c r="O42" s="1"/>
      <c r="P42" s="1"/>
      <c r="Q42" s="1"/>
      <c r="R42" s="1"/>
      <c r="S42" s="1"/>
      <c r="T42" s="1"/>
      <c r="U42" s="1"/>
      <c r="V42" s="1"/>
      <c r="W42" s="1"/>
      <c r="X42" s="1"/>
      <c r="Y42" s="1"/>
      <c r="Z42" s="1"/>
    </row>
    <row r="43" spans="1:26" ht="15.75" customHeight="1">
      <c r="A43" s="2" t="s">
        <v>47</v>
      </c>
      <c r="B43" s="1"/>
      <c r="C43" s="1"/>
      <c r="D43" s="1"/>
      <c r="E43" s="9"/>
      <c r="F43" s="1"/>
      <c r="G43" s="16"/>
      <c r="H43" s="1"/>
      <c r="I43" s="1"/>
      <c r="J43" s="1"/>
      <c r="K43" s="1"/>
      <c r="L43" s="1"/>
      <c r="M43" s="1"/>
      <c r="N43" s="1"/>
      <c r="O43" s="1"/>
      <c r="P43" s="1"/>
      <c r="Q43" s="1"/>
      <c r="R43" s="1"/>
      <c r="S43" s="1"/>
      <c r="T43" s="1"/>
      <c r="U43" s="1"/>
      <c r="V43" s="1"/>
      <c r="W43" s="1"/>
      <c r="X43" s="1"/>
      <c r="Y43" s="1"/>
      <c r="Z43" s="1"/>
    </row>
    <row r="44" spans="1:26" ht="15.75" customHeight="1">
      <c r="A44" s="1" t="s">
        <v>48</v>
      </c>
      <c r="B44" s="1"/>
      <c r="C44" s="1"/>
      <c r="D44" s="1"/>
      <c r="E44" s="9">
        <v>0.5</v>
      </c>
      <c r="F44" s="1"/>
      <c r="G44" s="16" t="s">
        <v>49</v>
      </c>
      <c r="H44" s="1"/>
      <c r="I44" s="1"/>
      <c r="J44" s="1"/>
      <c r="K44" s="1"/>
      <c r="L44" s="1"/>
      <c r="M44" s="1"/>
      <c r="N44" s="1"/>
      <c r="O44" s="1"/>
      <c r="P44" s="1"/>
      <c r="Q44" s="1"/>
      <c r="R44" s="1"/>
      <c r="S44" s="1"/>
      <c r="T44" s="1"/>
      <c r="U44" s="1"/>
      <c r="V44" s="1"/>
      <c r="W44" s="1"/>
      <c r="X44" s="1"/>
      <c r="Y44" s="1"/>
      <c r="Z44" s="1"/>
    </row>
    <row r="45" spans="1:26" ht="15.75" customHeight="1">
      <c r="A45" s="1" t="s">
        <v>50</v>
      </c>
      <c r="B45" s="1"/>
      <c r="C45" s="1" t="s">
        <v>51</v>
      </c>
      <c r="D45" s="1" t="s">
        <v>51</v>
      </c>
      <c r="E45" s="9">
        <v>1</v>
      </c>
      <c r="F45" s="1"/>
      <c r="G45" s="16" t="s">
        <v>52</v>
      </c>
      <c r="H45" s="1"/>
      <c r="I45" s="1"/>
      <c r="J45" s="1"/>
      <c r="K45" s="1"/>
      <c r="L45" s="1"/>
      <c r="M45" s="1"/>
      <c r="N45" s="1"/>
      <c r="O45" s="1"/>
      <c r="P45" s="1"/>
      <c r="Q45" s="1"/>
      <c r="R45" s="1"/>
      <c r="S45" s="1"/>
      <c r="T45" s="1"/>
      <c r="U45" s="1"/>
      <c r="V45" s="1"/>
      <c r="W45" s="1"/>
      <c r="X45" s="1"/>
      <c r="Y45" s="1"/>
      <c r="Z45" s="1"/>
    </row>
    <row r="46" spans="1:26" ht="15.75" customHeight="1">
      <c r="A46" s="1" t="s">
        <v>53</v>
      </c>
      <c r="B46" s="1"/>
      <c r="C46" s="1"/>
      <c r="D46" s="1"/>
      <c r="E46" s="9">
        <v>1.2</v>
      </c>
      <c r="F46" s="18"/>
      <c r="G46" s="16" t="s">
        <v>49</v>
      </c>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7"/>
      <c r="G47" s="19" t="s">
        <v>51</v>
      </c>
      <c r="H47" s="1"/>
      <c r="I47" s="1"/>
      <c r="J47" s="1"/>
      <c r="K47" s="1"/>
      <c r="L47" s="1"/>
      <c r="M47" s="1"/>
      <c r="N47" s="1"/>
      <c r="O47" s="1"/>
      <c r="P47" s="1"/>
      <c r="Q47" s="1"/>
      <c r="R47" s="1"/>
      <c r="S47" s="1"/>
      <c r="T47" s="1"/>
      <c r="U47" s="1"/>
      <c r="V47" s="1"/>
      <c r="W47" s="1"/>
      <c r="X47" s="1"/>
      <c r="Y47" s="1"/>
      <c r="Z47" s="1"/>
    </row>
    <row r="48" spans="1:26" ht="15.75" customHeight="1">
      <c r="A48" s="3" t="s">
        <v>54</v>
      </c>
      <c r="B48" s="1"/>
      <c r="C48" s="1" t="s">
        <v>51</v>
      </c>
      <c r="D48" s="1" t="s">
        <v>51</v>
      </c>
      <c r="E48" s="7"/>
      <c r="F48" s="7"/>
      <c r="G48" s="19" t="s">
        <v>51</v>
      </c>
      <c r="H48" s="1"/>
      <c r="I48" s="1"/>
      <c r="J48" s="1"/>
      <c r="K48" s="1"/>
      <c r="L48" s="1"/>
      <c r="M48" s="1"/>
      <c r="N48" s="1"/>
      <c r="O48" s="1"/>
      <c r="P48" s="1"/>
      <c r="Q48" s="1"/>
      <c r="R48" s="1"/>
      <c r="S48" s="1"/>
      <c r="T48" s="1"/>
      <c r="U48" s="1"/>
      <c r="V48" s="1"/>
      <c r="W48" s="1"/>
      <c r="X48" s="1"/>
      <c r="Y48" s="1"/>
      <c r="Z48" s="1"/>
    </row>
    <row r="49" spans="1:26" ht="15.75" customHeight="1">
      <c r="A49" s="5" t="s">
        <v>55</v>
      </c>
      <c r="B49" s="1"/>
      <c r="C49" s="1"/>
      <c r="D49" s="1"/>
      <c r="E49" s="20">
        <v>0.5</v>
      </c>
      <c r="F49" s="1"/>
      <c r="G49" s="21" t="s">
        <v>56</v>
      </c>
      <c r="H49" s="1"/>
      <c r="I49" s="1"/>
      <c r="J49" s="1"/>
      <c r="K49" s="1"/>
      <c r="L49" s="1"/>
      <c r="M49" s="1"/>
      <c r="N49" s="1"/>
      <c r="O49" s="1"/>
      <c r="P49" s="1"/>
      <c r="Q49" s="1"/>
      <c r="R49" s="1"/>
      <c r="S49" s="1"/>
      <c r="T49" s="1"/>
      <c r="U49" s="1"/>
      <c r="V49" s="1"/>
      <c r="W49" s="1"/>
      <c r="X49" s="1"/>
      <c r="Y49" s="1"/>
      <c r="Z49" s="1"/>
    </row>
    <row r="50" spans="1:26" ht="15.75" customHeight="1">
      <c r="A50" s="5" t="s">
        <v>57</v>
      </c>
      <c r="B50" s="1"/>
      <c r="C50" s="1" t="s">
        <v>51</v>
      </c>
      <c r="D50" s="1" t="s">
        <v>51</v>
      </c>
      <c r="E50" s="22">
        <v>55</v>
      </c>
      <c r="F50" s="1"/>
      <c r="G50" s="16" t="s">
        <v>35</v>
      </c>
      <c r="H50" s="1"/>
      <c r="I50" s="1"/>
      <c r="J50" s="1"/>
      <c r="K50" s="1"/>
      <c r="L50" s="1"/>
      <c r="M50" s="1"/>
      <c r="N50" s="1"/>
      <c r="O50" s="1"/>
      <c r="P50" s="1"/>
      <c r="Q50" s="1"/>
      <c r="R50" s="1"/>
      <c r="S50" s="1"/>
      <c r="T50" s="1"/>
      <c r="U50" s="1"/>
      <c r="V50" s="1"/>
      <c r="W50" s="1"/>
      <c r="X50" s="1"/>
      <c r="Y50" s="1"/>
      <c r="Z50" s="1"/>
    </row>
    <row r="51" spans="1:26" ht="15.75" customHeight="1">
      <c r="A51" s="1" t="s">
        <v>51</v>
      </c>
      <c r="B51" s="1"/>
      <c r="C51" s="1" t="s">
        <v>51</v>
      </c>
      <c r="D51" s="1" t="s">
        <v>51</v>
      </c>
      <c r="E51" s="7" t="s">
        <v>51</v>
      </c>
      <c r="F51" s="1"/>
      <c r="G51" s="16"/>
      <c r="H51" s="1"/>
      <c r="I51" s="1"/>
      <c r="J51" s="1"/>
      <c r="K51" s="1"/>
      <c r="L51" s="1"/>
      <c r="M51" s="1"/>
      <c r="N51" s="1"/>
      <c r="O51" s="1"/>
      <c r="P51" s="1"/>
      <c r="Q51" s="1"/>
      <c r="R51" s="1"/>
      <c r="S51" s="1"/>
      <c r="T51" s="1"/>
      <c r="U51" s="1"/>
      <c r="V51" s="1"/>
      <c r="W51" s="1"/>
      <c r="X51" s="1"/>
      <c r="Y51" s="1"/>
      <c r="Z51" s="1"/>
    </row>
    <row r="52" spans="1:26" ht="15.75" customHeight="1">
      <c r="A52" s="2" t="s">
        <v>58</v>
      </c>
      <c r="B52" s="1"/>
      <c r="C52" s="1"/>
      <c r="D52" s="1" t="s">
        <v>51</v>
      </c>
      <c r="E52" s="7" t="s">
        <v>51</v>
      </c>
      <c r="F52" s="1"/>
      <c r="G52" s="16"/>
      <c r="H52" s="1"/>
      <c r="I52" s="1"/>
      <c r="J52" s="1"/>
      <c r="K52" s="1"/>
      <c r="L52" s="1"/>
      <c r="M52" s="1"/>
      <c r="N52" s="1"/>
      <c r="O52" s="1"/>
      <c r="P52" s="1"/>
      <c r="Q52" s="1"/>
      <c r="R52" s="1"/>
      <c r="S52" s="1"/>
      <c r="T52" s="1"/>
      <c r="U52" s="1"/>
      <c r="V52" s="1"/>
      <c r="W52" s="1"/>
      <c r="X52" s="1"/>
      <c r="Y52" s="1"/>
      <c r="Z52" s="1"/>
    </row>
    <row r="53" spans="1:26" ht="15.75" customHeight="1">
      <c r="A53" s="2" t="s">
        <v>59</v>
      </c>
      <c r="B53" s="1"/>
      <c r="C53" s="1" t="s">
        <v>51</v>
      </c>
      <c r="D53" s="1" t="s">
        <v>51</v>
      </c>
      <c r="E53" s="1"/>
      <c r="F53" s="1"/>
      <c r="G53" s="16"/>
      <c r="H53" s="1"/>
      <c r="I53" s="1"/>
      <c r="J53" s="1"/>
      <c r="K53" s="1"/>
      <c r="L53" s="1"/>
      <c r="M53" s="1"/>
      <c r="N53" s="1"/>
      <c r="O53" s="1"/>
      <c r="P53" s="1"/>
      <c r="Q53" s="1"/>
      <c r="R53" s="1"/>
      <c r="S53" s="1"/>
      <c r="T53" s="1"/>
      <c r="U53" s="1"/>
      <c r="V53" s="1"/>
      <c r="W53" s="1"/>
      <c r="X53" s="1"/>
      <c r="Y53" s="1"/>
      <c r="Z53" s="1"/>
    </row>
    <row r="54" spans="1:26" ht="15.75" customHeight="1">
      <c r="A54" s="1" t="s">
        <v>60</v>
      </c>
      <c r="B54" s="1"/>
      <c r="C54" s="1"/>
      <c r="D54" s="23"/>
      <c r="E54" s="9">
        <v>2.5</v>
      </c>
      <c r="F54" s="1"/>
      <c r="G54" s="22"/>
      <c r="H54" s="24"/>
      <c r="I54" s="1"/>
      <c r="J54" s="1"/>
      <c r="K54" s="1"/>
      <c r="L54" s="1"/>
      <c r="M54" s="1"/>
      <c r="N54" s="1"/>
      <c r="O54" s="1"/>
      <c r="P54" s="1"/>
      <c r="Q54" s="1"/>
      <c r="R54" s="1"/>
      <c r="S54" s="1"/>
      <c r="T54" s="1"/>
      <c r="U54" s="1"/>
      <c r="V54" s="1"/>
      <c r="W54" s="1"/>
      <c r="X54" s="1"/>
      <c r="Y54" s="1"/>
      <c r="Z54" s="1"/>
    </row>
    <row r="55" spans="1:26" ht="15.75" customHeight="1">
      <c r="A55" s="1" t="s">
        <v>61</v>
      </c>
      <c r="B55" s="1"/>
      <c r="C55" s="1" t="s">
        <v>51</v>
      </c>
      <c r="D55" s="23"/>
      <c r="E55" s="9">
        <v>0.5</v>
      </c>
      <c r="F55" s="1"/>
      <c r="G55" s="22"/>
      <c r="H55" s="1"/>
      <c r="I55" s="1"/>
      <c r="J55" s="1"/>
      <c r="K55" s="1"/>
      <c r="L55" s="1"/>
      <c r="M55" s="1"/>
      <c r="N55" s="1"/>
      <c r="O55" s="1"/>
      <c r="P55" s="1"/>
      <c r="Q55" s="1"/>
      <c r="R55" s="1"/>
      <c r="S55" s="1"/>
      <c r="T55" s="1"/>
      <c r="U55" s="1"/>
      <c r="V55" s="1"/>
      <c r="W55" s="1"/>
      <c r="X55" s="1"/>
      <c r="Y55" s="1"/>
      <c r="Z55" s="1"/>
    </row>
    <row r="56" spans="1:26" ht="15.75" customHeight="1">
      <c r="A56" s="1" t="s">
        <v>62</v>
      </c>
      <c r="B56" s="1"/>
      <c r="C56" s="1"/>
      <c r="D56" s="23"/>
      <c r="E56" s="9">
        <v>0.6</v>
      </c>
      <c r="F56" s="1"/>
      <c r="G56" s="22"/>
      <c r="H56" s="1"/>
      <c r="I56" s="1"/>
      <c r="J56" s="1"/>
      <c r="K56" s="1"/>
      <c r="L56" s="1"/>
      <c r="M56" s="1"/>
      <c r="N56" s="1"/>
      <c r="O56" s="1"/>
      <c r="P56" s="1"/>
      <c r="Q56" s="1"/>
      <c r="R56" s="1"/>
      <c r="S56" s="1"/>
      <c r="T56" s="1"/>
      <c r="U56" s="1"/>
      <c r="V56" s="1"/>
      <c r="W56" s="1"/>
      <c r="X56" s="1"/>
      <c r="Y56" s="1"/>
      <c r="Z56" s="1"/>
    </row>
    <row r="57" spans="1:26" ht="15.75" customHeight="1">
      <c r="A57" s="1" t="s">
        <v>63</v>
      </c>
      <c r="B57" s="1"/>
      <c r="C57" s="1" t="s">
        <v>51</v>
      </c>
      <c r="D57" s="23"/>
      <c r="E57" s="9">
        <v>0.85</v>
      </c>
      <c r="F57" s="1"/>
      <c r="G57" s="22"/>
      <c r="H57" s="1"/>
      <c r="I57" s="1"/>
      <c r="J57" s="1"/>
      <c r="K57" s="1"/>
      <c r="L57" s="1"/>
      <c r="M57" s="1"/>
      <c r="N57" s="1"/>
      <c r="O57" s="1"/>
      <c r="P57" s="1"/>
      <c r="Q57" s="1"/>
      <c r="R57" s="1"/>
      <c r="S57" s="1"/>
      <c r="T57" s="1"/>
      <c r="U57" s="1"/>
      <c r="V57" s="1"/>
      <c r="W57" s="1"/>
      <c r="X57" s="1"/>
      <c r="Y57" s="1"/>
      <c r="Z57" s="1"/>
    </row>
    <row r="58" spans="1:26" ht="15.75" customHeight="1">
      <c r="A58" s="1" t="s">
        <v>64</v>
      </c>
      <c r="B58" s="1"/>
      <c r="C58" s="1" t="s">
        <v>51</v>
      </c>
      <c r="D58" s="23"/>
      <c r="E58" s="9">
        <v>2.5</v>
      </c>
      <c r="F58" s="1"/>
      <c r="G58" s="22"/>
      <c r="H58" s="1"/>
      <c r="I58" s="1"/>
      <c r="J58" s="1"/>
      <c r="K58" s="1"/>
      <c r="L58" s="1"/>
      <c r="M58" s="1"/>
      <c r="N58" s="1"/>
      <c r="O58" s="1"/>
      <c r="P58" s="1"/>
      <c r="Q58" s="1"/>
      <c r="R58" s="1"/>
      <c r="S58" s="1"/>
      <c r="T58" s="1"/>
      <c r="U58" s="1"/>
      <c r="V58" s="1"/>
      <c r="W58" s="1"/>
      <c r="X58" s="1"/>
      <c r="Y58" s="1"/>
      <c r="Z58" s="1"/>
    </row>
    <row r="59" spans="1:26" ht="15.75" customHeight="1">
      <c r="A59" s="1" t="s">
        <v>65</v>
      </c>
      <c r="B59" s="1"/>
      <c r="C59" s="1"/>
      <c r="D59" s="23"/>
      <c r="E59" s="9">
        <v>3.55</v>
      </c>
      <c r="F59" s="1"/>
      <c r="G59" s="5"/>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1"/>
      <c r="H60" s="1"/>
      <c r="I60" s="1"/>
      <c r="J60" s="1"/>
      <c r="K60" s="1"/>
      <c r="L60" s="1"/>
      <c r="M60" s="1"/>
      <c r="N60" s="1"/>
      <c r="O60" s="1"/>
      <c r="P60" s="1"/>
      <c r="Q60" s="1"/>
      <c r="R60" s="1"/>
      <c r="S60" s="1"/>
      <c r="T60" s="1"/>
      <c r="U60" s="1"/>
      <c r="V60" s="1"/>
      <c r="W60" s="1"/>
      <c r="X60" s="1"/>
      <c r="Y60" s="1"/>
      <c r="Z60" s="1"/>
    </row>
    <row r="61" spans="1:26" ht="15.75" customHeight="1">
      <c r="A61" s="2" t="s">
        <v>66</v>
      </c>
      <c r="B61" s="1"/>
      <c r="C61" s="1" t="s">
        <v>51</v>
      </c>
      <c r="D61" s="1" t="s">
        <v>51</v>
      </c>
      <c r="E61" s="7" t="s">
        <v>51</v>
      </c>
      <c r="F61" s="1"/>
      <c r="G61" s="11"/>
      <c r="H61" s="1"/>
      <c r="I61" s="1"/>
      <c r="J61" s="1"/>
      <c r="K61" s="1"/>
      <c r="L61" s="1"/>
      <c r="M61" s="1"/>
      <c r="N61" s="1"/>
      <c r="O61" s="1"/>
      <c r="P61" s="1"/>
      <c r="Q61" s="1"/>
      <c r="R61" s="1"/>
      <c r="S61" s="1"/>
      <c r="T61" s="1"/>
      <c r="U61" s="1"/>
      <c r="V61" s="1"/>
      <c r="W61" s="1"/>
      <c r="X61" s="1"/>
      <c r="Y61" s="1"/>
      <c r="Z61" s="1"/>
    </row>
    <row r="62" spans="1:26" ht="15.75" customHeight="1">
      <c r="A62" s="2" t="s">
        <v>67</v>
      </c>
      <c r="B62" s="1"/>
      <c r="C62" s="1" t="s">
        <v>51</v>
      </c>
      <c r="D62" s="1" t="s">
        <v>51</v>
      </c>
      <c r="E62" s="7" t="s">
        <v>51</v>
      </c>
      <c r="F62" s="1"/>
      <c r="G62" s="1"/>
      <c r="H62" s="1"/>
      <c r="I62" s="1"/>
      <c r="J62" s="1"/>
      <c r="K62" s="1"/>
      <c r="L62" s="1"/>
      <c r="M62" s="1"/>
      <c r="N62" s="1"/>
      <c r="O62" s="1"/>
      <c r="P62" s="1"/>
      <c r="Q62" s="1"/>
      <c r="R62" s="1"/>
      <c r="S62" s="1"/>
      <c r="T62" s="1"/>
      <c r="U62" s="1"/>
      <c r="V62" s="1"/>
      <c r="W62" s="1"/>
      <c r="X62" s="1"/>
      <c r="Y62" s="1"/>
      <c r="Z62" s="1"/>
    </row>
    <row r="63" spans="1:26" ht="15.75" customHeight="1">
      <c r="A63" s="1" t="s">
        <v>68</v>
      </c>
      <c r="B63" s="1"/>
      <c r="C63" s="1" t="s">
        <v>51</v>
      </c>
      <c r="D63" s="1" t="s">
        <v>51</v>
      </c>
      <c r="E63" s="8">
        <v>3</v>
      </c>
      <c r="F63" s="1"/>
      <c r="G63" s="21" t="s">
        <v>69</v>
      </c>
      <c r="H63" s="1"/>
      <c r="I63" s="1"/>
      <c r="J63" s="1"/>
      <c r="K63" s="1"/>
      <c r="L63" s="1"/>
      <c r="M63" s="1"/>
      <c r="N63" s="1"/>
      <c r="O63" s="1"/>
      <c r="P63" s="1"/>
      <c r="Q63" s="1"/>
      <c r="R63" s="1"/>
      <c r="S63" s="1"/>
      <c r="T63" s="1"/>
      <c r="U63" s="1"/>
      <c r="V63" s="1"/>
      <c r="W63" s="1"/>
      <c r="X63" s="1"/>
      <c r="Y63" s="1"/>
      <c r="Z63" s="1"/>
    </row>
    <row r="64" spans="1:26" ht="15.75" customHeight="1">
      <c r="A64" s="1" t="s">
        <v>70</v>
      </c>
      <c r="B64" s="1"/>
      <c r="C64" s="1" t="s">
        <v>51</v>
      </c>
      <c r="D64" s="1" t="s">
        <v>51</v>
      </c>
      <c r="E64" s="9">
        <v>80</v>
      </c>
      <c r="F64" s="1"/>
      <c r="G64" s="16" t="s">
        <v>71</v>
      </c>
      <c r="H64" s="1"/>
      <c r="I64" s="1"/>
      <c r="J64" s="1"/>
      <c r="K64" s="1"/>
      <c r="L64" s="1"/>
      <c r="M64" s="1"/>
      <c r="N64" s="1"/>
      <c r="O64" s="1"/>
      <c r="P64" s="1"/>
      <c r="Q64" s="1"/>
      <c r="R64" s="1"/>
      <c r="S64" s="1"/>
      <c r="T64" s="1"/>
      <c r="U64" s="1"/>
      <c r="V64" s="1"/>
      <c r="W64" s="1"/>
      <c r="X64" s="1"/>
      <c r="Y64" s="1"/>
      <c r="Z64" s="1"/>
    </row>
    <row r="65" spans="1:26" ht="15.75" customHeight="1">
      <c r="A65" s="2" t="s">
        <v>72</v>
      </c>
      <c r="B65" s="1"/>
      <c r="C65" s="1" t="s">
        <v>51</v>
      </c>
      <c r="D65" s="1" t="s">
        <v>51</v>
      </c>
      <c r="E65" s="7" t="s">
        <v>51</v>
      </c>
      <c r="F65" s="1"/>
      <c r="G65" s="1"/>
      <c r="H65" s="1"/>
      <c r="I65" s="1"/>
      <c r="J65" s="1"/>
      <c r="K65" s="1"/>
      <c r="L65" s="1"/>
      <c r="M65" s="1"/>
      <c r="N65" s="1"/>
      <c r="O65" s="1"/>
      <c r="P65" s="1"/>
      <c r="Q65" s="1"/>
      <c r="R65" s="1"/>
      <c r="S65" s="1"/>
      <c r="T65" s="1"/>
      <c r="U65" s="1"/>
      <c r="V65" s="1"/>
      <c r="W65" s="1"/>
      <c r="X65" s="1"/>
      <c r="Y65" s="1"/>
      <c r="Z65" s="1"/>
    </row>
    <row r="66" spans="1:26" ht="15.75" customHeight="1">
      <c r="A66" s="1" t="s">
        <v>73</v>
      </c>
      <c r="B66" s="1"/>
      <c r="C66" s="1"/>
      <c r="D66" s="1" t="s">
        <v>51</v>
      </c>
      <c r="E66" s="8">
        <v>60</v>
      </c>
      <c r="F66" s="1"/>
      <c r="G66" s="21" t="s">
        <v>74</v>
      </c>
      <c r="H66" s="1"/>
      <c r="I66" s="1"/>
      <c r="J66" s="1"/>
      <c r="K66" s="1"/>
      <c r="L66" s="1"/>
      <c r="M66" s="1"/>
      <c r="N66" s="1"/>
      <c r="O66" s="1"/>
      <c r="P66" s="1"/>
      <c r="Q66" s="1"/>
      <c r="R66" s="1"/>
      <c r="S66" s="1"/>
      <c r="T66" s="1"/>
      <c r="U66" s="1"/>
      <c r="V66" s="1"/>
      <c r="W66" s="1"/>
      <c r="X66" s="1"/>
      <c r="Y66" s="1"/>
      <c r="Z66" s="1"/>
    </row>
    <row r="67" spans="1:26" ht="15.75" customHeight="1">
      <c r="A67" s="1" t="s">
        <v>75</v>
      </c>
      <c r="B67" s="1"/>
      <c r="C67" s="1" t="s">
        <v>51</v>
      </c>
      <c r="D67" s="1" t="s">
        <v>51</v>
      </c>
      <c r="E67" s="9">
        <v>0.5</v>
      </c>
      <c r="F67" s="1"/>
      <c r="G67" s="16" t="s">
        <v>76</v>
      </c>
      <c r="H67" s="1"/>
      <c r="I67" s="1"/>
      <c r="J67" s="1"/>
      <c r="K67" s="1"/>
      <c r="L67" s="1"/>
      <c r="M67" s="1"/>
      <c r="N67" s="1"/>
      <c r="O67" s="1"/>
      <c r="P67" s="1"/>
      <c r="Q67" s="1"/>
      <c r="R67" s="1"/>
      <c r="S67" s="1"/>
      <c r="T67" s="1"/>
      <c r="U67" s="1"/>
      <c r="V67" s="1"/>
      <c r="W67" s="1"/>
      <c r="X67" s="1"/>
      <c r="Y67" s="1"/>
      <c r="Z67" s="1"/>
    </row>
    <row r="68" spans="1:26" ht="15.75" customHeight="1">
      <c r="A68" s="1" t="s">
        <v>77</v>
      </c>
      <c r="B68" s="1"/>
      <c r="C68" s="1" t="s">
        <v>51</v>
      </c>
      <c r="D68" s="1" t="s">
        <v>51</v>
      </c>
      <c r="E68" s="25">
        <v>3</v>
      </c>
      <c r="F68" s="1"/>
      <c r="G68" s="5"/>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5"/>
      <c r="H69" s="1"/>
      <c r="I69" s="1"/>
      <c r="J69" s="1"/>
      <c r="K69" s="1"/>
      <c r="L69" s="1"/>
      <c r="M69" s="1"/>
      <c r="N69" s="1"/>
      <c r="O69" s="1"/>
      <c r="P69" s="1"/>
      <c r="Q69" s="1"/>
      <c r="R69" s="1"/>
      <c r="S69" s="1"/>
      <c r="T69" s="1"/>
      <c r="U69" s="1"/>
      <c r="V69" s="1"/>
      <c r="W69" s="1"/>
      <c r="X69" s="1"/>
      <c r="Y69" s="1"/>
      <c r="Z69" s="1"/>
    </row>
    <row r="70" spans="1:26" ht="15.75" customHeight="1">
      <c r="A70" s="2" t="s">
        <v>78</v>
      </c>
      <c r="B70" s="1"/>
      <c r="C70" s="1"/>
      <c r="D70" s="1"/>
      <c r="E70" s="1"/>
      <c r="F70" s="1"/>
      <c r="G70" s="16"/>
      <c r="H70" s="1"/>
      <c r="I70" s="1"/>
      <c r="J70" s="1"/>
      <c r="K70" s="1"/>
      <c r="L70" s="1"/>
      <c r="M70" s="1"/>
      <c r="N70" s="1"/>
      <c r="O70" s="1"/>
      <c r="P70" s="1"/>
      <c r="Q70" s="1"/>
      <c r="R70" s="1"/>
      <c r="S70" s="1"/>
      <c r="T70" s="1"/>
      <c r="U70" s="1"/>
      <c r="V70" s="1"/>
      <c r="W70" s="1"/>
      <c r="X70" s="1"/>
      <c r="Y70" s="1"/>
      <c r="Z70" s="1"/>
    </row>
    <row r="71" spans="1:26" ht="15.75" customHeight="1">
      <c r="A71" s="5" t="s">
        <v>79</v>
      </c>
      <c r="B71" s="1"/>
      <c r="C71" s="1"/>
      <c r="D71" s="1"/>
      <c r="E71" s="9">
        <v>1500</v>
      </c>
      <c r="F71" s="1"/>
      <c r="G71" s="16"/>
      <c r="H71" s="1"/>
      <c r="I71" s="1"/>
      <c r="J71" s="1"/>
      <c r="K71" s="1"/>
      <c r="L71" s="1"/>
      <c r="M71" s="1"/>
      <c r="N71" s="1"/>
      <c r="O71" s="1"/>
      <c r="P71" s="1"/>
      <c r="Q71" s="1"/>
      <c r="R71" s="1"/>
      <c r="S71" s="1"/>
      <c r="T71" s="1"/>
      <c r="U71" s="1"/>
      <c r="V71" s="1"/>
      <c r="W71" s="1"/>
      <c r="X71" s="1"/>
      <c r="Y71" s="1"/>
      <c r="Z71" s="1"/>
    </row>
    <row r="72" spans="1:26" ht="15.75" customHeight="1">
      <c r="A72" s="1" t="s">
        <v>80</v>
      </c>
      <c r="B72" s="1"/>
      <c r="C72" s="1"/>
      <c r="D72" s="1"/>
      <c r="E72" s="9">
        <v>2000</v>
      </c>
      <c r="F72" s="1"/>
      <c r="G72" s="16"/>
      <c r="H72" s="1"/>
      <c r="I72" s="1"/>
      <c r="J72" s="1"/>
      <c r="K72" s="1"/>
      <c r="L72" s="1"/>
      <c r="M72" s="1"/>
      <c r="N72" s="1"/>
      <c r="O72" s="1"/>
      <c r="P72" s="1"/>
      <c r="Q72" s="1"/>
      <c r="R72" s="1"/>
      <c r="S72" s="1"/>
      <c r="T72" s="1"/>
      <c r="U72" s="1"/>
      <c r="V72" s="1"/>
      <c r="W72" s="1"/>
      <c r="X72" s="1"/>
      <c r="Y72" s="1"/>
      <c r="Z72" s="1"/>
    </row>
    <row r="73" spans="1:26" ht="15.75" customHeight="1">
      <c r="A73" s="1" t="s">
        <v>51</v>
      </c>
      <c r="B73" s="1"/>
      <c r="C73" s="1" t="s">
        <v>51</v>
      </c>
      <c r="D73" s="1" t="s">
        <v>51</v>
      </c>
      <c r="E73" s="1"/>
      <c r="F73" s="1"/>
      <c r="G73" s="16"/>
      <c r="H73" s="1"/>
      <c r="I73" s="1"/>
      <c r="J73" s="1"/>
      <c r="K73" s="1"/>
      <c r="L73" s="1"/>
      <c r="M73" s="1"/>
      <c r="N73" s="1"/>
      <c r="O73" s="1"/>
      <c r="P73" s="1"/>
      <c r="Q73" s="1"/>
      <c r="R73" s="1"/>
      <c r="S73" s="1"/>
      <c r="T73" s="1"/>
      <c r="U73" s="1"/>
      <c r="V73" s="1"/>
      <c r="W73" s="1"/>
      <c r="X73" s="1"/>
      <c r="Y73" s="1"/>
      <c r="Z73" s="1"/>
    </row>
    <row r="74" spans="1:26" ht="15.75" customHeight="1">
      <c r="A74" s="2" t="s">
        <v>81</v>
      </c>
      <c r="B74" s="1"/>
      <c r="C74" s="1"/>
      <c r="D74" s="1"/>
      <c r="E74" s="7" t="s">
        <v>51</v>
      </c>
      <c r="F74" s="1"/>
      <c r="G74" s="16"/>
      <c r="H74" s="1"/>
      <c r="I74" s="1"/>
      <c r="J74" s="1"/>
      <c r="K74" s="1"/>
      <c r="L74" s="1"/>
      <c r="M74" s="1"/>
      <c r="N74" s="1"/>
      <c r="O74" s="1"/>
      <c r="P74" s="1"/>
      <c r="Q74" s="1"/>
      <c r="R74" s="1"/>
      <c r="S74" s="1"/>
      <c r="T74" s="1"/>
      <c r="U74" s="1"/>
      <c r="V74" s="1"/>
      <c r="W74" s="1"/>
      <c r="X74" s="1"/>
      <c r="Y74" s="1"/>
      <c r="Z74" s="1"/>
    </row>
    <row r="75" spans="1:26" ht="15.75" customHeight="1">
      <c r="A75" s="1" t="s">
        <v>82</v>
      </c>
      <c r="B75" s="1"/>
      <c r="C75" s="1"/>
      <c r="D75" s="1"/>
      <c r="E75" s="9">
        <v>2500</v>
      </c>
      <c r="F75" s="1"/>
      <c r="G75" s="5"/>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9"/>
      <c r="F76" s="1"/>
      <c r="G76" s="5"/>
      <c r="H76" s="1"/>
      <c r="I76" s="1"/>
      <c r="J76" s="1"/>
      <c r="K76" s="1"/>
      <c r="L76" s="1"/>
      <c r="M76" s="1"/>
      <c r="N76" s="1"/>
      <c r="O76" s="1"/>
      <c r="P76" s="1"/>
      <c r="Q76" s="1"/>
      <c r="R76" s="1"/>
      <c r="S76" s="1"/>
      <c r="T76" s="1"/>
      <c r="U76" s="1"/>
      <c r="V76" s="1"/>
      <c r="W76" s="1"/>
      <c r="X76" s="1"/>
      <c r="Y76" s="1"/>
      <c r="Z76" s="1"/>
    </row>
    <row r="77" spans="1:26" ht="15.75" customHeight="1">
      <c r="A77" s="2" t="s">
        <v>83</v>
      </c>
      <c r="B77" s="1"/>
      <c r="C77" s="1"/>
      <c r="D77" s="1"/>
      <c r="E77" s="1"/>
      <c r="F77" s="1"/>
      <c r="G77" s="11"/>
      <c r="H77" s="1"/>
      <c r="I77" s="1"/>
      <c r="J77" s="1"/>
      <c r="K77" s="1"/>
      <c r="L77" s="1"/>
      <c r="M77" s="1"/>
      <c r="N77" s="1"/>
      <c r="O77" s="1"/>
      <c r="P77" s="1"/>
      <c r="Q77" s="1"/>
      <c r="R77" s="1"/>
      <c r="S77" s="1"/>
      <c r="T77" s="1"/>
      <c r="U77" s="1"/>
      <c r="V77" s="1"/>
      <c r="W77" s="1"/>
      <c r="X77" s="1"/>
      <c r="Y77" s="1"/>
      <c r="Z77" s="1"/>
    </row>
    <row r="78" spans="1:26" ht="15.75" customHeight="1">
      <c r="A78" s="2" t="s">
        <v>84</v>
      </c>
      <c r="B78" s="1"/>
      <c r="C78" s="1"/>
      <c r="D78" s="1"/>
      <c r="E78" s="7" t="s">
        <v>51</v>
      </c>
      <c r="F78" s="1"/>
      <c r="G78" s="1"/>
      <c r="H78" s="1"/>
      <c r="I78" s="1"/>
      <c r="J78" s="1"/>
      <c r="K78" s="1"/>
      <c r="L78" s="1"/>
      <c r="M78" s="1"/>
      <c r="N78" s="1"/>
      <c r="O78" s="1"/>
      <c r="P78" s="1"/>
      <c r="Q78" s="1"/>
      <c r="R78" s="1"/>
      <c r="S78" s="1"/>
      <c r="T78" s="1"/>
      <c r="U78" s="1"/>
      <c r="V78" s="1"/>
      <c r="W78" s="1"/>
      <c r="X78" s="1"/>
      <c r="Y78" s="1"/>
      <c r="Z78" s="1"/>
    </row>
    <row r="79" spans="1:26" ht="15.75" customHeight="1">
      <c r="A79" s="5" t="s">
        <v>85</v>
      </c>
      <c r="B79" s="1"/>
      <c r="C79" s="1"/>
      <c r="D79" s="1"/>
      <c r="E79" s="6">
        <v>70</v>
      </c>
      <c r="F79" s="1"/>
      <c r="G79" s="19" t="s">
        <v>86</v>
      </c>
      <c r="H79" s="1"/>
      <c r="I79" s="1"/>
      <c r="J79" s="1"/>
      <c r="K79" s="1"/>
      <c r="L79" s="1"/>
      <c r="M79" s="1"/>
      <c r="N79" s="1"/>
      <c r="O79" s="1"/>
      <c r="P79" s="1"/>
      <c r="Q79" s="1"/>
      <c r="R79" s="1"/>
      <c r="S79" s="1"/>
      <c r="T79" s="1"/>
      <c r="U79" s="1"/>
      <c r="V79" s="1"/>
      <c r="W79" s="1"/>
      <c r="X79" s="1"/>
      <c r="Y79" s="1"/>
      <c r="Z79" s="1"/>
    </row>
    <row r="80" spans="1:26" ht="15.75" customHeight="1">
      <c r="A80" s="5" t="s">
        <v>87</v>
      </c>
      <c r="B80" s="1"/>
      <c r="C80" s="1"/>
      <c r="D80" s="1"/>
      <c r="E80" s="9">
        <v>3</v>
      </c>
      <c r="F80" s="1"/>
      <c r="G80" s="16" t="s">
        <v>88</v>
      </c>
      <c r="H80" s="1"/>
      <c r="I80" s="1"/>
      <c r="J80" s="1"/>
      <c r="K80" s="1"/>
      <c r="L80" s="1"/>
      <c r="M80" s="1"/>
      <c r="N80" s="1"/>
      <c r="O80" s="1"/>
      <c r="P80" s="1"/>
      <c r="Q80" s="1"/>
      <c r="R80" s="1"/>
      <c r="S80" s="1"/>
      <c r="T80" s="1"/>
      <c r="U80" s="1"/>
      <c r="V80" s="1"/>
      <c r="W80" s="1"/>
      <c r="X80" s="1"/>
      <c r="Y80" s="1"/>
      <c r="Z80" s="1"/>
    </row>
    <row r="81" spans="1:26" ht="15.75" customHeight="1">
      <c r="A81" s="5" t="s">
        <v>89</v>
      </c>
      <c r="B81" s="1"/>
      <c r="C81" s="1"/>
      <c r="D81" s="1"/>
      <c r="E81" s="6">
        <v>56000</v>
      </c>
      <c r="F81" s="1"/>
      <c r="G81" s="16" t="s">
        <v>90</v>
      </c>
      <c r="H81" s="1"/>
      <c r="I81" s="1"/>
      <c r="J81" s="1"/>
      <c r="K81" s="1"/>
      <c r="L81" s="1"/>
      <c r="M81" s="1"/>
      <c r="N81" s="1"/>
      <c r="O81" s="1"/>
      <c r="P81" s="1"/>
      <c r="Q81" s="1"/>
      <c r="R81" s="1"/>
      <c r="S81" s="1"/>
      <c r="T81" s="1"/>
      <c r="U81" s="1"/>
      <c r="V81" s="1"/>
      <c r="W81" s="1"/>
      <c r="X81" s="1"/>
      <c r="Y81" s="1"/>
      <c r="Z81" s="1"/>
    </row>
    <row r="82" spans="1:26" ht="15.75" customHeight="1">
      <c r="A82" s="5" t="s">
        <v>91</v>
      </c>
      <c r="B82" s="1"/>
      <c r="C82" s="1"/>
      <c r="D82" s="1"/>
      <c r="E82" s="26">
        <f>E81/D17</f>
        <v>65.882352941176464</v>
      </c>
      <c r="F82" s="1"/>
      <c r="G82" s="27" t="s">
        <v>92</v>
      </c>
      <c r="H82" s="1"/>
      <c r="I82" s="1"/>
      <c r="J82" s="1"/>
      <c r="K82" s="1"/>
      <c r="L82" s="1"/>
      <c r="M82" s="1"/>
      <c r="N82" s="1"/>
      <c r="O82" s="1"/>
      <c r="P82" s="1"/>
      <c r="Q82" s="1"/>
      <c r="R82" s="1"/>
      <c r="S82" s="1"/>
      <c r="T82" s="1"/>
      <c r="U82" s="1"/>
      <c r="V82" s="1"/>
      <c r="W82" s="1"/>
      <c r="X82" s="1"/>
      <c r="Y82" s="1"/>
      <c r="Z82" s="1"/>
    </row>
    <row r="83" spans="1:26" ht="15.75" customHeight="1">
      <c r="A83" s="1" t="s">
        <v>93</v>
      </c>
      <c r="B83" s="1"/>
      <c r="C83" s="1"/>
      <c r="D83" s="1"/>
      <c r="E83" s="9">
        <v>0</v>
      </c>
      <c r="F83" s="1"/>
      <c r="G83" s="16" t="s">
        <v>52</v>
      </c>
      <c r="H83" s="1"/>
      <c r="I83" s="1"/>
      <c r="J83" s="1"/>
      <c r="K83" s="1"/>
      <c r="L83" s="1"/>
      <c r="M83" s="1"/>
      <c r="N83" s="1"/>
      <c r="O83" s="1"/>
      <c r="P83" s="1"/>
      <c r="Q83" s="1"/>
      <c r="R83" s="1"/>
      <c r="S83" s="1"/>
      <c r="T83" s="1"/>
      <c r="U83" s="1"/>
      <c r="V83" s="1"/>
      <c r="W83" s="1"/>
      <c r="X83" s="1"/>
      <c r="Y83" s="1"/>
      <c r="Z83" s="1"/>
    </row>
    <row r="84" spans="1:26" ht="15.75" customHeight="1">
      <c r="A84" s="2" t="s">
        <v>94</v>
      </c>
      <c r="B84" s="1"/>
      <c r="C84" s="1"/>
      <c r="D84" s="1"/>
      <c r="E84" s="7" t="s">
        <v>51</v>
      </c>
      <c r="F84" s="1"/>
      <c r="G84" s="1"/>
      <c r="H84" s="1"/>
      <c r="I84" s="1"/>
      <c r="J84" s="1"/>
      <c r="K84" s="1"/>
      <c r="L84" s="1"/>
      <c r="M84" s="1"/>
      <c r="N84" s="1"/>
      <c r="O84" s="1"/>
      <c r="P84" s="1"/>
      <c r="Q84" s="1"/>
      <c r="R84" s="1"/>
      <c r="S84" s="1"/>
      <c r="T84" s="1"/>
      <c r="U84" s="1"/>
      <c r="V84" s="1"/>
      <c r="W84" s="1"/>
      <c r="X84" s="1"/>
      <c r="Y84" s="1"/>
      <c r="Z84" s="1"/>
    </row>
    <row r="85" spans="1:26" ht="15.75" customHeight="1">
      <c r="A85" s="1" t="s">
        <v>95</v>
      </c>
      <c r="B85" s="1"/>
      <c r="C85" s="1"/>
      <c r="D85" s="1"/>
      <c r="E85" s="9">
        <v>2</v>
      </c>
      <c r="F85" s="1"/>
      <c r="G85" s="16" t="s">
        <v>52</v>
      </c>
      <c r="H85" s="1"/>
      <c r="I85" s="1"/>
      <c r="J85" s="1"/>
      <c r="K85" s="1"/>
      <c r="L85" s="1"/>
      <c r="M85" s="1"/>
      <c r="N85" s="1"/>
      <c r="O85" s="1"/>
      <c r="P85" s="1"/>
      <c r="Q85" s="1"/>
      <c r="R85" s="1"/>
      <c r="S85" s="1"/>
      <c r="T85" s="1"/>
      <c r="U85" s="1"/>
      <c r="V85" s="1"/>
      <c r="W85" s="1"/>
      <c r="X85" s="1"/>
      <c r="Y85" s="1"/>
      <c r="Z85" s="1"/>
    </row>
    <row r="86" spans="1:26" ht="15.75" customHeight="1">
      <c r="A86" s="5"/>
      <c r="B86" s="1"/>
      <c r="C86" s="1"/>
      <c r="D86" s="1"/>
      <c r="E86" s="9"/>
      <c r="F86" s="1"/>
      <c r="G86" s="27"/>
      <c r="H86" s="1"/>
      <c r="I86" s="1"/>
      <c r="J86" s="1"/>
      <c r="K86" s="1"/>
      <c r="L86" s="1"/>
      <c r="M86" s="1"/>
      <c r="N86" s="1"/>
      <c r="O86" s="1"/>
      <c r="P86" s="1"/>
      <c r="Q86" s="1"/>
      <c r="R86" s="1"/>
      <c r="S86" s="1"/>
      <c r="T86" s="1"/>
      <c r="U86" s="1"/>
      <c r="V86" s="1"/>
      <c r="W86" s="1"/>
      <c r="X86" s="1"/>
      <c r="Y86" s="1"/>
      <c r="Z86" s="1"/>
    </row>
    <row r="87" spans="1:26" ht="15.75" customHeight="1">
      <c r="A87" s="2" t="s">
        <v>96</v>
      </c>
      <c r="B87" s="1"/>
      <c r="C87" s="1" t="s">
        <v>51</v>
      </c>
      <c r="D87" s="1" t="s">
        <v>51</v>
      </c>
      <c r="E87" s="7" t="s">
        <v>51</v>
      </c>
      <c r="F87" s="7"/>
      <c r="G87" s="19" t="s">
        <v>51</v>
      </c>
      <c r="H87" s="1"/>
      <c r="I87" s="1"/>
      <c r="J87" s="1"/>
      <c r="K87" s="1"/>
      <c r="L87" s="1"/>
      <c r="M87" s="1"/>
      <c r="N87" s="1"/>
      <c r="O87" s="1"/>
      <c r="P87" s="1"/>
      <c r="Q87" s="1"/>
      <c r="R87" s="1"/>
      <c r="S87" s="1"/>
      <c r="T87" s="1"/>
      <c r="U87" s="1"/>
      <c r="V87" s="1"/>
      <c r="W87" s="1"/>
      <c r="X87" s="1"/>
      <c r="Y87" s="1"/>
      <c r="Z87" s="1"/>
    </row>
    <row r="88" spans="1:26" ht="15.75" customHeight="1">
      <c r="A88" s="1" t="s">
        <v>97</v>
      </c>
      <c r="B88" s="1"/>
      <c r="C88" s="1"/>
      <c r="D88" s="1"/>
      <c r="E88" s="9">
        <v>4000</v>
      </c>
      <c r="F88" s="18"/>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2" t="s">
        <v>98</v>
      </c>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t="s">
        <v>99</v>
      </c>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5" t="s">
        <v>100</v>
      </c>
      <c r="B92" s="1"/>
      <c r="C92" s="1"/>
      <c r="D92" s="23"/>
      <c r="E92" s="9">
        <v>0</v>
      </c>
      <c r="F92" s="18"/>
      <c r="G92" s="1"/>
      <c r="H92" s="1"/>
      <c r="I92" s="1"/>
      <c r="J92" s="1"/>
      <c r="K92" s="1"/>
      <c r="L92" s="1"/>
      <c r="M92" s="1"/>
      <c r="N92" s="1"/>
      <c r="O92" s="1"/>
      <c r="P92" s="1"/>
      <c r="Q92" s="1"/>
      <c r="R92" s="1"/>
      <c r="S92" s="1"/>
      <c r="T92" s="1"/>
      <c r="U92" s="1"/>
      <c r="V92" s="1"/>
      <c r="W92" s="1"/>
      <c r="X92" s="1"/>
      <c r="Y92" s="1"/>
      <c r="Z92" s="1"/>
    </row>
    <row r="93" spans="1:26" ht="15.75" customHeight="1">
      <c r="A93" s="5" t="s">
        <v>101</v>
      </c>
      <c r="B93" s="1"/>
      <c r="C93" s="1"/>
      <c r="D93" s="1"/>
      <c r="E93" s="22">
        <v>0.4</v>
      </c>
      <c r="F93" s="18"/>
      <c r="G93" s="1"/>
      <c r="H93" s="1"/>
      <c r="I93" s="1"/>
      <c r="J93" s="1"/>
      <c r="K93" s="1"/>
      <c r="L93" s="1"/>
      <c r="M93" s="1"/>
      <c r="N93" s="1"/>
      <c r="O93" s="1"/>
      <c r="P93" s="1"/>
      <c r="Q93" s="1"/>
      <c r="R93" s="1"/>
      <c r="S93" s="1"/>
      <c r="T93" s="1"/>
      <c r="U93" s="1"/>
      <c r="V93" s="1"/>
      <c r="W93" s="1"/>
      <c r="X93" s="1"/>
      <c r="Y93" s="1"/>
      <c r="Z93" s="1"/>
    </row>
    <row r="94" spans="1:26" ht="15.75" customHeight="1">
      <c r="A94" s="1" t="s">
        <v>102</v>
      </c>
      <c r="B94" s="1"/>
      <c r="C94" s="1"/>
      <c r="D94" s="1"/>
      <c r="E94" s="22">
        <v>49</v>
      </c>
      <c r="F94" s="18"/>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2" t="s">
        <v>103</v>
      </c>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t="s">
        <v>104</v>
      </c>
      <c r="B97" s="1"/>
      <c r="C97" s="1"/>
      <c r="D97" s="1"/>
      <c r="E97" s="9">
        <v>600</v>
      </c>
      <c r="F97" s="18"/>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3" t="s">
        <v>105</v>
      </c>
      <c r="B99" s="1"/>
      <c r="C99" s="1"/>
      <c r="D99" s="1"/>
      <c r="E99" s="8">
        <f>Investment!N26</f>
        <v>15</v>
      </c>
      <c r="F99" s="28" t="s">
        <v>106</v>
      </c>
      <c r="G99" s="1"/>
      <c r="H99" s="1"/>
      <c r="I99" s="1"/>
      <c r="J99" s="1"/>
      <c r="K99" s="1"/>
      <c r="L99" s="1"/>
      <c r="M99" s="1"/>
      <c r="N99" s="1"/>
      <c r="O99" s="1"/>
      <c r="P99" s="1"/>
      <c r="Q99" s="1"/>
      <c r="R99" s="1"/>
      <c r="S99" s="1"/>
      <c r="T99" s="1"/>
      <c r="U99" s="1"/>
      <c r="V99" s="1"/>
      <c r="W99" s="1"/>
      <c r="X99" s="1"/>
      <c r="Y99" s="1"/>
      <c r="Z99" s="1"/>
    </row>
    <row r="100" spans="1:26" ht="15.75" customHeight="1">
      <c r="A100" s="3" t="s">
        <v>107</v>
      </c>
      <c r="B100" s="1"/>
      <c r="C100" s="1"/>
      <c r="D100" s="1"/>
      <c r="E100" s="8">
        <f>Investment!Q26</f>
        <v>2.5</v>
      </c>
      <c r="F100" s="28" t="s">
        <v>106</v>
      </c>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t="s">
        <v>108</v>
      </c>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3" t="s">
        <v>109</v>
      </c>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29" t="s">
        <v>110</v>
      </c>
      <c r="E105" s="5"/>
      <c r="F105" s="30" t="s">
        <v>111</v>
      </c>
      <c r="G105" s="31" t="s">
        <v>112</v>
      </c>
      <c r="H105" s="1"/>
      <c r="I105" s="1"/>
      <c r="J105" s="1"/>
      <c r="K105" s="1"/>
      <c r="L105" s="1"/>
      <c r="M105" s="1"/>
      <c r="N105" s="1"/>
      <c r="O105" s="1"/>
      <c r="P105" s="1"/>
      <c r="Q105" s="1"/>
      <c r="R105" s="1"/>
      <c r="S105" s="1"/>
      <c r="T105" s="1"/>
      <c r="U105" s="1"/>
      <c r="V105" s="1"/>
      <c r="W105" s="1"/>
      <c r="X105" s="1"/>
      <c r="Y105" s="1"/>
      <c r="Z105" s="1"/>
    </row>
    <row r="106" spans="1:26" ht="15.75" customHeight="1">
      <c r="A106" s="2" t="s">
        <v>113</v>
      </c>
      <c r="B106" s="1"/>
      <c r="C106" s="1"/>
      <c r="D106" s="32" t="s">
        <v>114</v>
      </c>
      <c r="E106" s="5"/>
      <c r="F106" s="33" t="s">
        <v>114</v>
      </c>
      <c r="G106" s="34" t="s">
        <v>115</v>
      </c>
      <c r="H106" s="1"/>
      <c r="I106" s="1"/>
      <c r="J106" s="1"/>
      <c r="K106" s="1"/>
      <c r="L106" s="1"/>
      <c r="M106" s="1"/>
      <c r="N106" s="1"/>
      <c r="O106" s="1"/>
      <c r="P106" s="1"/>
      <c r="Q106" s="1"/>
      <c r="R106" s="1"/>
      <c r="S106" s="1"/>
      <c r="T106" s="1"/>
      <c r="U106" s="1"/>
      <c r="V106" s="1"/>
      <c r="W106" s="1"/>
      <c r="X106" s="1"/>
      <c r="Y106" s="1"/>
      <c r="Z106" s="1"/>
    </row>
    <row r="107" spans="1:26" ht="15.75" customHeight="1">
      <c r="A107" s="1" t="s">
        <v>116</v>
      </c>
      <c r="B107" s="1"/>
      <c r="C107" s="1"/>
      <c r="D107" s="35">
        <v>5200</v>
      </c>
      <c r="E107" s="6">
        <v>10</v>
      </c>
      <c r="F107" s="28" t="s">
        <v>106</v>
      </c>
      <c r="G107" s="6">
        <v>20</v>
      </c>
      <c r="H107" s="1" t="s">
        <v>117</v>
      </c>
      <c r="I107" s="1"/>
      <c r="J107" s="1"/>
      <c r="K107" s="1"/>
      <c r="L107" s="1"/>
      <c r="M107" s="1"/>
      <c r="N107" s="1"/>
      <c r="O107" s="1"/>
      <c r="P107" s="1"/>
      <c r="Q107" s="1"/>
      <c r="R107" s="1"/>
      <c r="S107" s="1"/>
      <c r="T107" s="1"/>
      <c r="U107" s="1"/>
      <c r="V107" s="1"/>
      <c r="W107" s="1"/>
      <c r="X107" s="1"/>
      <c r="Y107" s="1"/>
      <c r="Z107" s="1"/>
    </row>
    <row r="108" spans="1:26" ht="15.75" customHeight="1">
      <c r="A108" s="1" t="s">
        <v>118</v>
      </c>
      <c r="B108" s="1"/>
      <c r="C108" s="1"/>
      <c r="D108" s="35">
        <v>3300</v>
      </c>
      <c r="E108" s="6">
        <v>10</v>
      </c>
      <c r="F108" s="28" t="s">
        <v>106</v>
      </c>
      <c r="G108" s="6">
        <v>20</v>
      </c>
      <c r="H108" s="1" t="s">
        <v>117</v>
      </c>
      <c r="I108" s="1"/>
      <c r="J108" s="1"/>
      <c r="K108" s="1"/>
      <c r="L108" s="1"/>
      <c r="M108" s="1"/>
      <c r="N108" s="1"/>
      <c r="O108" s="1"/>
      <c r="P108" s="1"/>
      <c r="Q108" s="1"/>
      <c r="R108" s="1"/>
      <c r="S108" s="1"/>
      <c r="T108" s="1"/>
      <c r="U108" s="1"/>
      <c r="V108" s="1"/>
      <c r="W108" s="1"/>
      <c r="X108" s="1"/>
      <c r="Y108" s="1"/>
      <c r="Z108" s="1"/>
    </row>
    <row r="109" spans="1:26" ht="15.75" customHeight="1">
      <c r="A109" s="1" t="s">
        <v>119</v>
      </c>
      <c r="B109" s="1"/>
      <c r="C109" s="1"/>
      <c r="D109" s="35">
        <v>0</v>
      </c>
      <c r="E109" s="6">
        <v>10</v>
      </c>
      <c r="F109" s="28" t="s">
        <v>106</v>
      </c>
      <c r="G109" s="6">
        <v>20</v>
      </c>
      <c r="H109" s="1" t="s">
        <v>117</v>
      </c>
      <c r="I109" s="1"/>
      <c r="J109" s="1"/>
      <c r="K109" s="1"/>
      <c r="L109" s="1"/>
      <c r="M109" s="1"/>
      <c r="N109" s="1"/>
      <c r="O109" s="1"/>
      <c r="P109" s="1"/>
      <c r="Q109" s="1"/>
      <c r="R109" s="1"/>
      <c r="S109" s="1"/>
      <c r="T109" s="1"/>
      <c r="U109" s="1"/>
      <c r="V109" s="1"/>
      <c r="W109" s="1"/>
      <c r="X109" s="1"/>
      <c r="Y109" s="1"/>
      <c r="Z109" s="1"/>
    </row>
    <row r="110" spans="1:26" ht="15.75" customHeight="1">
      <c r="A110" s="1" t="s">
        <v>120</v>
      </c>
      <c r="B110" s="1"/>
      <c r="C110" s="1"/>
      <c r="D110" s="35">
        <v>5400</v>
      </c>
      <c r="E110" s="6">
        <v>10</v>
      </c>
      <c r="F110" s="28" t="s">
        <v>106</v>
      </c>
      <c r="G110" s="6">
        <v>20</v>
      </c>
      <c r="H110" s="1" t="s">
        <v>117</v>
      </c>
      <c r="I110" s="1"/>
      <c r="J110" s="1"/>
      <c r="K110" s="1"/>
      <c r="L110" s="1"/>
      <c r="M110" s="1"/>
      <c r="N110" s="1"/>
      <c r="O110" s="1"/>
      <c r="P110" s="1"/>
      <c r="Q110" s="1"/>
      <c r="R110" s="1"/>
      <c r="S110" s="1"/>
      <c r="T110" s="1"/>
      <c r="U110" s="1"/>
      <c r="V110" s="1"/>
      <c r="W110" s="1"/>
      <c r="X110" s="1"/>
      <c r="Y110" s="1"/>
      <c r="Z110" s="1"/>
    </row>
    <row r="111" spans="1:26" ht="15.75" customHeight="1">
      <c r="A111" s="1" t="s">
        <v>121</v>
      </c>
      <c r="B111" s="1"/>
      <c r="C111" s="1"/>
      <c r="D111" s="35">
        <v>4200</v>
      </c>
      <c r="E111" s="6">
        <v>10</v>
      </c>
      <c r="F111" s="28" t="s">
        <v>106</v>
      </c>
      <c r="G111" s="6">
        <v>20</v>
      </c>
      <c r="H111" s="1" t="s">
        <v>117</v>
      </c>
      <c r="I111" s="1"/>
      <c r="J111" s="1"/>
      <c r="K111" s="1"/>
      <c r="L111" s="1"/>
      <c r="M111" s="1"/>
      <c r="N111" s="1"/>
      <c r="O111" s="1"/>
      <c r="P111" s="1"/>
      <c r="Q111" s="1"/>
      <c r="R111" s="1"/>
      <c r="S111" s="1"/>
      <c r="T111" s="1"/>
      <c r="U111" s="1"/>
      <c r="V111" s="1"/>
      <c r="W111" s="1"/>
      <c r="X111" s="1"/>
      <c r="Y111" s="1"/>
      <c r="Z111" s="1"/>
    </row>
    <row r="112" spans="1:26" ht="15.75" customHeight="1">
      <c r="A112" s="1" t="s">
        <v>122</v>
      </c>
      <c r="B112" s="1"/>
      <c r="C112" s="1"/>
      <c r="D112" s="35">
        <v>1500</v>
      </c>
      <c r="E112" s="6">
        <v>10</v>
      </c>
      <c r="F112" s="28" t="s">
        <v>106</v>
      </c>
      <c r="G112" s="6">
        <v>20</v>
      </c>
      <c r="H112" s="1" t="s">
        <v>117</v>
      </c>
      <c r="I112" s="1"/>
      <c r="J112" s="1"/>
      <c r="K112" s="1"/>
      <c r="L112" s="1"/>
      <c r="M112" s="1"/>
      <c r="N112" s="1"/>
      <c r="O112" s="1"/>
      <c r="P112" s="1"/>
      <c r="Q112" s="1"/>
      <c r="R112" s="1"/>
      <c r="S112" s="1"/>
      <c r="T112" s="1"/>
      <c r="U112" s="1"/>
      <c r="V112" s="1"/>
      <c r="W112" s="1"/>
      <c r="X112" s="1"/>
      <c r="Y112" s="1"/>
      <c r="Z112" s="1"/>
    </row>
    <row r="113" spans="1:26" ht="15.75" customHeight="1">
      <c r="A113" s="1" t="s">
        <v>123</v>
      </c>
      <c r="B113" s="1"/>
      <c r="C113" s="1"/>
      <c r="D113" s="35">
        <v>15000</v>
      </c>
      <c r="E113" s="6">
        <v>10</v>
      </c>
      <c r="F113" s="28" t="s">
        <v>106</v>
      </c>
      <c r="G113" s="6">
        <v>20</v>
      </c>
      <c r="H113" s="1" t="s">
        <v>117</v>
      </c>
      <c r="I113" s="1"/>
      <c r="J113" s="1"/>
      <c r="K113" s="1"/>
      <c r="L113" s="1"/>
      <c r="M113" s="1"/>
      <c r="N113" s="1"/>
      <c r="O113" s="1"/>
      <c r="P113" s="1"/>
      <c r="Q113" s="1"/>
      <c r="R113" s="1"/>
      <c r="S113" s="1"/>
      <c r="T113" s="1"/>
      <c r="U113" s="1"/>
      <c r="V113" s="1"/>
      <c r="W113" s="1"/>
      <c r="X113" s="1"/>
      <c r="Y113" s="1"/>
      <c r="Z113" s="1"/>
    </row>
    <row r="114" spans="1:26" ht="15.75" customHeight="1">
      <c r="A114" s="1" t="s">
        <v>124</v>
      </c>
      <c r="B114" s="1"/>
      <c r="C114" s="1"/>
      <c r="D114" s="35">
        <v>5000</v>
      </c>
      <c r="E114" s="6">
        <v>10</v>
      </c>
      <c r="F114" s="28" t="s">
        <v>106</v>
      </c>
      <c r="G114" s="6">
        <v>20</v>
      </c>
      <c r="H114" s="1" t="s">
        <v>117</v>
      </c>
      <c r="I114" s="1"/>
      <c r="J114" s="1"/>
      <c r="K114" s="1"/>
      <c r="L114" s="1"/>
      <c r="M114" s="1"/>
      <c r="N114" s="1"/>
      <c r="O114" s="1"/>
      <c r="P114" s="1"/>
      <c r="Q114" s="1"/>
      <c r="R114" s="1"/>
      <c r="S114" s="1"/>
      <c r="T114" s="1"/>
      <c r="U114" s="1"/>
      <c r="V114" s="1"/>
      <c r="W114" s="1"/>
      <c r="X114" s="1"/>
      <c r="Y114" s="1"/>
      <c r="Z114" s="1"/>
    </row>
    <row r="115" spans="1:26" ht="15.75" customHeight="1">
      <c r="A115" s="1" t="s">
        <v>125</v>
      </c>
      <c r="B115" s="1"/>
      <c r="C115" s="1"/>
      <c r="D115" s="35">
        <v>4000</v>
      </c>
      <c r="E115" s="6">
        <v>10</v>
      </c>
      <c r="F115" s="28" t="s">
        <v>106</v>
      </c>
      <c r="G115" s="6">
        <v>20</v>
      </c>
      <c r="H115" s="1" t="s">
        <v>117</v>
      </c>
      <c r="I115" s="1"/>
      <c r="J115" s="1"/>
      <c r="K115" s="1"/>
      <c r="L115" s="1"/>
      <c r="M115" s="1"/>
      <c r="N115" s="1"/>
      <c r="O115" s="1"/>
      <c r="P115" s="1"/>
      <c r="Q115" s="1"/>
      <c r="R115" s="1"/>
      <c r="S115" s="1"/>
      <c r="T115" s="1"/>
      <c r="U115" s="1"/>
      <c r="V115" s="1"/>
      <c r="W115" s="1"/>
      <c r="X115" s="1"/>
      <c r="Y115" s="1"/>
      <c r="Z115" s="1"/>
    </row>
    <row r="116" spans="1:26" ht="15.75" customHeight="1">
      <c r="A116" s="1" t="s">
        <v>126</v>
      </c>
      <c r="B116" s="1"/>
      <c r="C116" s="1"/>
      <c r="D116" s="36">
        <v>14000</v>
      </c>
      <c r="E116" s="6">
        <v>10</v>
      </c>
      <c r="F116" s="28" t="s">
        <v>106</v>
      </c>
      <c r="G116" s="6">
        <v>20</v>
      </c>
      <c r="H116" s="1" t="s">
        <v>117</v>
      </c>
      <c r="I116" s="1"/>
      <c r="J116" s="1"/>
      <c r="K116" s="1"/>
      <c r="L116" s="1"/>
      <c r="M116" s="1"/>
      <c r="N116" s="1"/>
      <c r="O116" s="1"/>
      <c r="P116" s="1"/>
      <c r="Q116" s="1"/>
      <c r="R116" s="1"/>
      <c r="S116" s="1"/>
      <c r="T116" s="1"/>
      <c r="U116" s="1"/>
      <c r="V116" s="1"/>
      <c r="W116" s="1"/>
      <c r="X116" s="1"/>
      <c r="Y116" s="1"/>
      <c r="Z116" s="1"/>
    </row>
    <row r="117" spans="1:26" ht="15.75" customHeight="1">
      <c r="A117" s="2" t="s">
        <v>127</v>
      </c>
      <c r="B117" s="1"/>
      <c r="C117" s="1"/>
      <c r="D117" s="37">
        <f>SUM(D107:D116)</f>
        <v>57600</v>
      </c>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2"/>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2" t="s">
        <v>128</v>
      </c>
      <c r="B119" s="1"/>
      <c r="C119" s="1"/>
      <c r="D119" s="1" t="s">
        <v>51</v>
      </c>
      <c r="E119" s="19" t="s">
        <v>51</v>
      </c>
      <c r="F119" s="19"/>
      <c r="G119" s="28" t="s">
        <v>51</v>
      </c>
      <c r="H119" s="1"/>
      <c r="I119" s="1"/>
      <c r="J119" s="1"/>
      <c r="K119" s="1"/>
      <c r="L119" s="1"/>
      <c r="M119" s="1"/>
      <c r="N119" s="1"/>
      <c r="O119" s="1"/>
      <c r="P119" s="1"/>
      <c r="Q119" s="1"/>
      <c r="R119" s="1"/>
      <c r="S119" s="1"/>
      <c r="T119" s="1"/>
      <c r="U119" s="1"/>
      <c r="V119" s="1"/>
      <c r="W119" s="1"/>
      <c r="X119" s="1"/>
      <c r="Y119" s="1"/>
      <c r="Z119" s="1"/>
    </row>
    <row r="120" spans="1:26" ht="15.75" customHeight="1">
      <c r="A120" s="1" t="s">
        <v>129</v>
      </c>
      <c r="B120" s="1"/>
      <c r="C120" s="1"/>
      <c r="D120" s="35">
        <v>50000</v>
      </c>
      <c r="E120" s="6">
        <v>20</v>
      </c>
      <c r="F120" s="28" t="s">
        <v>106</v>
      </c>
      <c r="G120" s="6">
        <v>10</v>
      </c>
      <c r="H120" s="1" t="s">
        <v>117</v>
      </c>
      <c r="I120" s="1"/>
      <c r="J120" s="1"/>
      <c r="K120" s="1"/>
      <c r="L120" s="1"/>
      <c r="M120" s="1"/>
      <c r="N120" s="1"/>
      <c r="O120" s="1"/>
      <c r="P120" s="1"/>
      <c r="Q120" s="1"/>
      <c r="R120" s="1"/>
      <c r="S120" s="1"/>
      <c r="T120" s="1"/>
      <c r="U120" s="1"/>
      <c r="V120" s="1"/>
      <c r="W120" s="1"/>
      <c r="X120" s="1"/>
      <c r="Y120" s="1"/>
      <c r="Z120" s="1"/>
    </row>
    <row r="121" spans="1:26" ht="15.75" customHeight="1">
      <c r="A121" s="1" t="s">
        <v>130</v>
      </c>
      <c r="B121" s="1"/>
      <c r="C121" s="1"/>
      <c r="D121" s="35">
        <v>20000</v>
      </c>
      <c r="E121" s="6">
        <v>20</v>
      </c>
      <c r="F121" s="28" t="s">
        <v>106</v>
      </c>
      <c r="G121" s="6">
        <v>10</v>
      </c>
      <c r="H121" s="1" t="s">
        <v>117</v>
      </c>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28" t="s">
        <v>51</v>
      </c>
      <c r="H122" s="1"/>
      <c r="I122" s="1"/>
      <c r="J122" s="1"/>
      <c r="K122" s="1"/>
      <c r="L122" s="1"/>
      <c r="M122" s="1"/>
      <c r="N122" s="1"/>
      <c r="O122" s="1"/>
      <c r="P122" s="1"/>
      <c r="Q122" s="1"/>
      <c r="R122" s="1"/>
      <c r="S122" s="1"/>
      <c r="T122" s="1"/>
      <c r="U122" s="1"/>
      <c r="V122" s="1"/>
      <c r="W122" s="1"/>
      <c r="X122" s="1"/>
      <c r="Y122" s="1"/>
      <c r="Z122" s="1"/>
    </row>
    <row r="123" spans="1:26" ht="15.75" customHeight="1">
      <c r="A123" s="2" t="s">
        <v>131</v>
      </c>
      <c r="B123" s="1"/>
      <c r="C123" s="1"/>
      <c r="D123" s="37">
        <f>D117+D120+D121</f>
        <v>127600</v>
      </c>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3" t="s">
        <v>132</v>
      </c>
      <c r="B125" s="1"/>
      <c r="C125" s="1"/>
      <c r="D125" s="1"/>
      <c r="E125" s="17" t="s">
        <v>6</v>
      </c>
      <c r="F125" s="17"/>
      <c r="G125" s="1"/>
      <c r="H125" s="1"/>
      <c r="I125" s="1"/>
      <c r="J125" s="1"/>
      <c r="K125" s="1"/>
      <c r="L125" s="1"/>
      <c r="M125" s="1"/>
      <c r="N125" s="1"/>
      <c r="O125" s="1"/>
      <c r="P125" s="1"/>
      <c r="Q125" s="1"/>
      <c r="R125" s="1"/>
      <c r="S125" s="1"/>
      <c r="T125" s="1"/>
      <c r="U125" s="1"/>
      <c r="V125" s="1"/>
      <c r="W125" s="1"/>
      <c r="X125" s="1"/>
      <c r="Y125" s="1"/>
      <c r="Z125" s="1"/>
    </row>
    <row r="126" spans="1:26" ht="15.75" customHeight="1">
      <c r="A126" s="5"/>
      <c r="B126" s="1"/>
      <c r="C126" s="1"/>
      <c r="D126" s="1"/>
      <c r="E126" s="7"/>
      <c r="F126" s="7"/>
      <c r="G126" s="1"/>
      <c r="H126" s="1"/>
      <c r="I126" s="1"/>
      <c r="J126" s="1"/>
      <c r="K126" s="1"/>
      <c r="L126" s="1"/>
      <c r="M126" s="1"/>
      <c r="N126" s="1"/>
      <c r="O126" s="1"/>
      <c r="P126" s="1"/>
      <c r="Q126" s="1"/>
      <c r="R126" s="1"/>
      <c r="S126" s="1"/>
      <c r="T126" s="1"/>
      <c r="U126" s="1"/>
      <c r="V126" s="1"/>
      <c r="W126" s="1"/>
      <c r="X126" s="1"/>
      <c r="Y126" s="1"/>
      <c r="Z126" s="1"/>
    </row>
    <row r="127" spans="1:26" ht="15.75" customHeight="1">
      <c r="A127" s="5" t="s">
        <v>133</v>
      </c>
      <c r="B127" s="1"/>
      <c r="C127" s="1"/>
      <c r="D127" s="1"/>
      <c r="E127" s="20">
        <v>2</v>
      </c>
      <c r="F127" s="28" t="s">
        <v>134</v>
      </c>
      <c r="G127" s="1"/>
      <c r="H127" s="1"/>
      <c r="I127" s="1"/>
      <c r="J127" s="1"/>
      <c r="K127" s="1"/>
      <c r="L127" s="1"/>
      <c r="M127" s="1"/>
      <c r="N127" s="1"/>
      <c r="O127" s="1"/>
      <c r="P127" s="1"/>
      <c r="Q127" s="1"/>
      <c r="R127" s="1"/>
      <c r="S127" s="1"/>
      <c r="T127" s="1"/>
      <c r="U127" s="1"/>
      <c r="V127" s="1"/>
      <c r="W127" s="1"/>
      <c r="X127" s="1"/>
      <c r="Y127" s="1"/>
      <c r="Z127" s="1"/>
    </row>
    <row r="128" spans="1:26" ht="15.75" customHeight="1">
      <c r="A128" s="5" t="s">
        <v>135</v>
      </c>
      <c r="B128" s="1"/>
      <c r="C128" s="1"/>
      <c r="D128" s="1"/>
      <c r="E128" s="22">
        <v>20</v>
      </c>
      <c r="F128" s="11" t="s">
        <v>71</v>
      </c>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76" t="s">
        <v>136</v>
      </c>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3">
    <mergeCell ref="A2:G2"/>
    <mergeCell ref="D27:E27"/>
    <mergeCell ref="D28:E28"/>
  </mergeCells>
  <pageMargins left="0.7" right="0.7" top="0.75" bottom="0.75" header="0" footer="0"/>
  <pageSetup orientation="landscape"/>
  <headerFooter>
    <oddHeader>&amp;LGuidelines: Feedlot Finishing Cattle Production Costs&amp;R&amp;P</oddHeader>
    <oddFooter>&amp;RManitoba Agriculture, Food and Rural Development</oddFooter>
  </headerFooter>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EA60B-3E80-44D7-8749-FC840B1668F9}">
  <sheetPr codeName="Sheet3"/>
  <dimension ref="A1:Z1000"/>
  <sheetViews>
    <sheetView showGridLines="0" topLeftCell="A68" zoomScale="97" workbookViewId="0">
      <selection activeCell="E89" sqref="E89"/>
    </sheetView>
  </sheetViews>
  <sheetFormatPr defaultColWidth="10.9140625" defaultRowHeight="15" customHeight="1"/>
  <cols>
    <col min="1" max="1" width="3.4140625" customWidth="1"/>
    <col min="2" max="2" width="8.58203125" customWidth="1"/>
    <col min="3" max="3" width="9.58203125" customWidth="1"/>
    <col min="4" max="4" width="3.4140625" customWidth="1"/>
    <col min="5" max="5" width="14.4140625" style="164" customWidth="1"/>
    <col min="6" max="6" width="2.9140625" customWidth="1"/>
    <col min="7" max="7" width="10.9140625" customWidth="1"/>
    <col min="8" max="8" width="13.08203125" customWidth="1"/>
    <col min="9" max="9" width="13.4140625" customWidth="1"/>
    <col min="10" max="12" width="9.58203125" customWidth="1"/>
    <col min="13" max="26" width="8.58203125" customWidth="1"/>
  </cols>
  <sheetData>
    <row r="1" spans="1:26" ht="18" customHeight="1">
      <c r="A1" s="177" t="s">
        <v>137</v>
      </c>
      <c r="B1" s="178"/>
      <c r="C1" s="178"/>
      <c r="D1" s="178"/>
      <c r="E1" s="178"/>
      <c r="F1" s="178"/>
      <c r="G1" s="178"/>
      <c r="H1" s="178"/>
      <c r="I1" s="178"/>
      <c r="J1" s="1"/>
      <c r="K1" s="1"/>
      <c r="L1" s="1"/>
      <c r="M1" s="1"/>
      <c r="N1" s="1"/>
      <c r="O1" s="1"/>
      <c r="P1" s="1"/>
      <c r="Q1" s="1"/>
      <c r="R1" s="1"/>
      <c r="S1" s="1"/>
      <c r="T1" s="1"/>
      <c r="U1" s="1"/>
      <c r="V1" s="1"/>
      <c r="W1" s="1"/>
      <c r="X1" s="1"/>
      <c r="Y1" s="1"/>
      <c r="Z1" s="1"/>
    </row>
    <row r="2" spans="1:26" ht="18" customHeight="1">
      <c r="A2" s="1"/>
      <c r="B2" s="181"/>
      <c r="C2" s="180"/>
      <c r="D2" s="180"/>
      <c r="E2" s="180"/>
      <c r="F2" s="180"/>
      <c r="G2" s="180"/>
      <c r="H2" s="180"/>
      <c r="I2" s="180"/>
      <c r="J2" s="1"/>
      <c r="K2" s="1"/>
      <c r="L2" s="1"/>
      <c r="M2" s="1"/>
      <c r="N2" s="1"/>
      <c r="O2" s="1"/>
      <c r="P2" s="1"/>
      <c r="Q2" s="1"/>
      <c r="R2" s="1"/>
      <c r="S2" s="1"/>
      <c r="T2" s="1"/>
      <c r="U2" s="1"/>
      <c r="V2" s="1"/>
      <c r="W2" s="1"/>
      <c r="X2" s="1"/>
      <c r="Y2" s="1"/>
      <c r="Z2" s="1"/>
    </row>
    <row r="3" spans="1:26" ht="15.75" customHeight="1">
      <c r="A3" s="2" t="s">
        <v>138</v>
      </c>
      <c r="B3" s="1"/>
      <c r="C3" s="1"/>
      <c r="D3" s="1"/>
      <c r="E3" s="157"/>
      <c r="F3" s="1"/>
      <c r="G3" s="1"/>
      <c r="H3" s="1"/>
      <c r="I3" s="1"/>
      <c r="J3" s="1"/>
      <c r="K3" s="1"/>
      <c r="L3" s="1"/>
      <c r="M3" s="1"/>
      <c r="N3" s="1"/>
      <c r="O3" s="1"/>
      <c r="P3" s="1"/>
      <c r="Q3" s="1"/>
      <c r="R3" s="1"/>
      <c r="S3" s="1"/>
      <c r="T3" s="1"/>
      <c r="U3" s="1"/>
      <c r="V3" s="1"/>
      <c r="W3" s="1"/>
      <c r="X3" s="1"/>
      <c r="Y3" s="1"/>
      <c r="Z3" s="1"/>
    </row>
    <row r="4" spans="1:26" ht="7.5" customHeight="1">
      <c r="A4" s="2"/>
      <c r="B4" s="1"/>
      <c r="C4" s="1"/>
      <c r="D4" s="1"/>
      <c r="E4" s="157"/>
      <c r="F4" s="1"/>
      <c r="G4" s="1"/>
      <c r="H4" s="1"/>
      <c r="I4" s="1"/>
      <c r="J4" s="1"/>
      <c r="K4" s="1"/>
      <c r="L4" s="1"/>
      <c r="M4" s="1"/>
      <c r="N4" s="1"/>
      <c r="O4" s="1"/>
      <c r="P4" s="1"/>
      <c r="Q4" s="1"/>
      <c r="R4" s="1"/>
      <c r="S4" s="1"/>
      <c r="T4" s="1"/>
      <c r="U4" s="1"/>
      <c r="V4" s="1"/>
      <c r="W4" s="1"/>
      <c r="X4" s="1"/>
      <c r="Y4" s="1"/>
      <c r="Z4" s="1"/>
    </row>
    <row r="5" spans="1:26" ht="15.5">
      <c r="A5" s="1"/>
      <c r="B5" s="1" t="str">
        <f>"1.  Average daily gain (ADG) was assumed to be "&amp;Input!D22&amp;" lbs/day."</f>
        <v>1.  Average daily gain (ADG) was assumed to be 2.5 lbs/day.</v>
      </c>
      <c r="C5" s="1"/>
      <c r="D5" s="1"/>
      <c r="E5" s="157"/>
      <c r="F5" s="1"/>
      <c r="G5" s="1"/>
      <c r="H5" s="1"/>
      <c r="I5" s="1"/>
      <c r="J5" s="1"/>
      <c r="K5" s="1"/>
      <c r="L5" s="1"/>
      <c r="M5" s="1"/>
      <c r="N5" s="1"/>
      <c r="O5" s="1"/>
      <c r="P5" s="1"/>
      <c r="Q5" s="1"/>
      <c r="R5" s="1"/>
      <c r="S5" s="1"/>
      <c r="T5" s="1"/>
      <c r="U5" s="1"/>
      <c r="V5" s="1"/>
      <c r="W5" s="1"/>
      <c r="X5" s="1"/>
      <c r="Y5" s="1"/>
      <c r="Z5" s="1"/>
    </row>
    <row r="6" spans="1:26" ht="15.5">
      <c r="A6" s="1"/>
      <c r="B6" s="1" t="str">
        <f>"2.  It was assumed that the feeder steer weighed in at "&amp;Input!D15&amp;" lbs., and finished at "&amp;Input!D17&amp;" lbs"</f>
        <v>2.  It was assumed that the feeder steer weighed in at 600 lbs., and finished at 850 lbs</v>
      </c>
      <c r="C6" s="1"/>
      <c r="D6" s="1"/>
      <c r="E6" s="157"/>
      <c r="F6" s="1"/>
      <c r="G6" s="1"/>
      <c r="H6" s="1"/>
      <c r="I6" s="1"/>
      <c r="J6" s="1"/>
      <c r="K6" s="1"/>
      <c r="L6" s="1"/>
      <c r="M6" s="1"/>
      <c r="N6" s="1"/>
      <c r="O6" s="1"/>
      <c r="P6" s="1"/>
      <c r="Q6" s="1"/>
      <c r="R6" s="1"/>
      <c r="S6" s="1"/>
      <c r="T6" s="1"/>
      <c r="U6" s="1"/>
      <c r="V6" s="1"/>
      <c r="W6" s="1"/>
      <c r="X6" s="1"/>
      <c r="Y6" s="1"/>
      <c r="Z6" s="1"/>
    </row>
    <row r="7" spans="1:26" ht="15.5">
      <c r="A7" s="1"/>
      <c r="B7" s="1" t="str">
        <f>"     ( "&amp;ROUND(Input!D17-(Input!D17*Input!D20/100),0)&amp;" lbs after a "&amp;Input!D20&amp;"% shrink.)"</f>
        <v xml:space="preserve">     ( 833 lbs after a 2% shrink.)</v>
      </c>
      <c r="C7" s="1"/>
      <c r="D7" s="1"/>
      <c r="E7" s="157"/>
      <c r="F7" s="1"/>
      <c r="G7" s="1"/>
      <c r="H7" s="1"/>
      <c r="I7" s="1"/>
      <c r="J7" s="1"/>
      <c r="K7" s="1"/>
      <c r="L7" s="1"/>
      <c r="M7" s="1"/>
      <c r="N7" s="1"/>
      <c r="O7" s="1"/>
      <c r="P7" s="1"/>
      <c r="Q7" s="1"/>
      <c r="R7" s="1"/>
      <c r="S7" s="1"/>
      <c r="T7" s="1"/>
      <c r="U7" s="1"/>
      <c r="V7" s="1"/>
      <c r="W7" s="1"/>
      <c r="X7" s="1"/>
      <c r="Y7" s="1"/>
      <c r="Z7" s="1"/>
    </row>
    <row r="8" spans="1:26" ht="15.5">
      <c r="A8" s="1"/>
      <c r="B8" s="1" t="str">
        <f>"3.  Days on feed was "&amp;Input!D23&amp;". Hay was fed for "&amp;Input!G32&amp;" days."</f>
        <v>3.  Days on feed was 100. Hay was fed for 20 days.</v>
      </c>
      <c r="C8" s="1"/>
      <c r="D8" s="1"/>
      <c r="E8" s="157"/>
      <c r="F8" s="1"/>
      <c r="G8" s="1"/>
      <c r="H8" s="1"/>
      <c r="I8" s="1"/>
      <c r="J8" s="1"/>
      <c r="K8" s="1"/>
      <c r="L8" s="1"/>
      <c r="M8" s="1"/>
      <c r="N8" s="1"/>
      <c r="O8" s="1"/>
      <c r="P8" s="1"/>
      <c r="Q8" s="1"/>
      <c r="R8" s="1"/>
      <c r="S8" s="1"/>
      <c r="T8" s="1"/>
      <c r="U8" s="1"/>
      <c r="V8" s="1"/>
      <c r="W8" s="1"/>
      <c r="X8" s="1"/>
      <c r="Y8" s="1"/>
      <c r="Z8" s="1"/>
    </row>
    <row r="9" spans="1:26" ht="15.5">
      <c r="A9" s="1"/>
      <c r="B9" s="1" t="str">
        <f>"4.  Investment in feedlot facilities and equipment was assumed to handle "&amp;Input!D13&amp;" head."</f>
        <v>4.  Investment in feedlot facilities and equipment was assumed to handle 1000 head.</v>
      </c>
      <c r="C9" s="1"/>
      <c r="D9" s="1"/>
      <c r="E9" s="157"/>
      <c r="F9" s="1"/>
      <c r="G9" s="1"/>
      <c r="H9" s="1"/>
      <c r="I9" s="1"/>
      <c r="J9" s="1"/>
      <c r="K9" s="1"/>
      <c r="L9" s="1"/>
      <c r="M9" s="1"/>
      <c r="N9" s="1"/>
      <c r="O9" s="1"/>
      <c r="P9" s="1"/>
      <c r="Q9" s="1"/>
      <c r="R9" s="1"/>
      <c r="S9" s="1"/>
      <c r="T9" s="1"/>
      <c r="U9" s="1"/>
      <c r="V9" s="1"/>
      <c r="W9" s="1"/>
      <c r="X9" s="1"/>
      <c r="Y9" s="1"/>
      <c r="Z9" s="1"/>
    </row>
    <row r="10" spans="1:26" ht="15.5">
      <c r="A10" s="1"/>
      <c r="B10" s="1"/>
      <c r="C10" s="1"/>
      <c r="D10" s="1"/>
      <c r="E10" s="157"/>
      <c r="F10" s="1"/>
      <c r="G10" s="1"/>
      <c r="H10" s="1"/>
      <c r="I10" s="1"/>
      <c r="J10" s="1"/>
      <c r="K10" s="1"/>
      <c r="L10" s="1"/>
      <c r="M10" s="1"/>
      <c r="N10" s="1"/>
      <c r="O10" s="1"/>
      <c r="P10" s="1"/>
      <c r="Q10" s="1"/>
      <c r="R10" s="1"/>
      <c r="S10" s="1"/>
      <c r="T10" s="1"/>
      <c r="U10" s="1"/>
      <c r="V10" s="1"/>
      <c r="W10" s="1"/>
      <c r="X10" s="1"/>
      <c r="Y10" s="1"/>
      <c r="Z10" s="1"/>
    </row>
    <row r="11" spans="1:26" ht="15.75" customHeight="1">
      <c r="A11" s="2" t="s">
        <v>139</v>
      </c>
      <c r="B11" s="1"/>
      <c r="C11" s="1"/>
      <c r="D11" s="1"/>
      <c r="E11" s="157"/>
      <c r="F11" s="1"/>
      <c r="G11" s="1"/>
      <c r="H11" s="1"/>
      <c r="I11" s="38" t="s">
        <v>140</v>
      </c>
      <c r="J11" s="1"/>
      <c r="K11" s="1"/>
      <c r="L11" s="1"/>
      <c r="M11" s="1"/>
      <c r="N11" s="1"/>
      <c r="O11" s="1"/>
      <c r="P11" s="1"/>
      <c r="Q11" s="1"/>
      <c r="R11" s="1"/>
      <c r="S11" s="1"/>
      <c r="T11" s="1"/>
      <c r="U11" s="1"/>
      <c r="V11" s="1"/>
      <c r="W11" s="1"/>
      <c r="X11" s="1"/>
      <c r="Y11" s="1"/>
      <c r="Z11" s="1"/>
    </row>
    <row r="12" spans="1:26" ht="15.5">
      <c r="A12" s="1"/>
      <c r="B12" s="1"/>
      <c r="C12" s="1"/>
      <c r="D12" s="1"/>
      <c r="E12" s="157"/>
      <c r="F12" s="1"/>
      <c r="G12" s="1"/>
      <c r="H12" s="1"/>
      <c r="I12" s="1"/>
      <c r="J12" s="1"/>
      <c r="K12" s="1"/>
      <c r="L12" s="1"/>
      <c r="M12" s="1"/>
      <c r="N12" s="1"/>
      <c r="O12" s="1"/>
      <c r="P12" s="1"/>
      <c r="Q12" s="1"/>
      <c r="R12" s="1"/>
      <c r="S12" s="1"/>
      <c r="T12" s="1"/>
      <c r="U12" s="1"/>
      <c r="V12" s="1"/>
      <c r="W12" s="1"/>
      <c r="X12" s="1"/>
      <c r="Y12" s="1"/>
      <c r="Z12" s="1"/>
    </row>
    <row r="13" spans="1:26" ht="15.75" customHeight="1">
      <c r="A13" s="1"/>
      <c r="B13" s="2" t="s">
        <v>141</v>
      </c>
      <c r="C13" s="1"/>
      <c r="D13" s="1"/>
      <c r="E13" s="157"/>
      <c r="F13" s="1"/>
      <c r="G13" s="1"/>
      <c r="H13" s="1"/>
      <c r="I13" s="1"/>
      <c r="J13" s="1"/>
      <c r="K13" s="1"/>
      <c r="L13" s="1"/>
      <c r="M13" s="1"/>
      <c r="N13" s="1"/>
      <c r="O13" s="1"/>
      <c r="P13" s="1"/>
      <c r="Q13" s="1"/>
      <c r="R13" s="1"/>
      <c r="S13" s="1"/>
      <c r="T13" s="1"/>
      <c r="U13" s="1"/>
      <c r="V13" s="1"/>
      <c r="W13" s="1"/>
      <c r="X13" s="1"/>
      <c r="Y13" s="1"/>
      <c r="Z13" s="1"/>
    </row>
    <row r="14" spans="1:26" ht="15.75" customHeight="1">
      <c r="A14" s="1"/>
      <c r="B14" s="2" t="s">
        <v>142</v>
      </c>
      <c r="C14" s="1"/>
      <c r="D14" s="1"/>
      <c r="E14" s="157"/>
      <c r="F14" s="1"/>
      <c r="G14" s="1"/>
      <c r="H14" s="1"/>
      <c r="I14" s="1"/>
      <c r="J14" s="1"/>
      <c r="K14" s="1"/>
      <c r="L14" s="1"/>
      <c r="M14" s="1"/>
      <c r="N14" s="1"/>
      <c r="O14" s="1"/>
      <c r="P14" s="1"/>
      <c r="Q14" s="1"/>
      <c r="R14" s="1"/>
      <c r="S14" s="1"/>
      <c r="T14" s="1"/>
      <c r="U14" s="1"/>
      <c r="V14" s="1"/>
      <c r="W14" s="1"/>
      <c r="X14" s="1"/>
      <c r="Y14" s="1"/>
      <c r="Z14" s="1"/>
    </row>
    <row r="15" spans="1:26" ht="15.5">
      <c r="A15" s="1"/>
      <c r="B15" s="1"/>
      <c r="C15" s="1"/>
      <c r="D15" s="1"/>
      <c r="E15" s="157">
        <f>Input!D23</f>
        <v>100</v>
      </c>
      <c r="F15" s="1"/>
      <c r="G15" s="5" t="s">
        <v>143</v>
      </c>
      <c r="H15" s="5"/>
      <c r="I15" s="39"/>
      <c r="J15" s="1"/>
      <c r="K15" s="1"/>
      <c r="L15" s="1"/>
      <c r="M15" s="1"/>
      <c r="N15" s="1"/>
      <c r="O15" s="1"/>
      <c r="P15" s="1"/>
      <c r="Q15" s="1"/>
      <c r="R15" s="1"/>
      <c r="S15" s="1"/>
      <c r="T15" s="1"/>
      <c r="U15" s="1"/>
      <c r="V15" s="1"/>
      <c r="W15" s="1"/>
      <c r="X15" s="1"/>
      <c r="Y15" s="1"/>
      <c r="Z15" s="1"/>
    </row>
    <row r="16" spans="1:26" ht="15.5">
      <c r="A16" s="1"/>
      <c r="B16" s="1"/>
      <c r="C16" s="1"/>
      <c r="D16" s="1" t="s">
        <v>144</v>
      </c>
      <c r="E16" s="157">
        <f>Input!D30</f>
        <v>0</v>
      </c>
      <c r="F16" s="1"/>
      <c r="G16" s="5" t="s">
        <v>145</v>
      </c>
      <c r="H16" s="5"/>
      <c r="I16" s="39"/>
      <c r="J16" s="1"/>
      <c r="K16" s="1"/>
      <c r="L16" s="1"/>
      <c r="M16" s="1"/>
      <c r="N16" s="1"/>
      <c r="O16" s="1"/>
      <c r="P16" s="1"/>
      <c r="Q16" s="1"/>
      <c r="R16" s="1"/>
      <c r="S16" s="1"/>
      <c r="T16" s="1"/>
      <c r="U16" s="1"/>
      <c r="V16" s="1"/>
      <c r="W16" s="1"/>
      <c r="X16" s="1"/>
      <c r="Y16" s="1"/>
      <c r="Z16" s="1"/>
    </row>
    <row r="17" spans="1:26" ht="15.5">
      <c r="A17" s="1"/>
      <c r="B17" s="1"/>
      <c r="C17" s="1"/>
      <c r="D17" s="40" t="s">
        <v>146</v>
      </c>
      <c r="E17" s="157">
        <v>48</v>
      </c>
      <c r="F17" s="1"/>
      <c r="G17" s="40" t="s">
        <v>147</v>
      </c>
      <c r="H17" s="40"/>
      <c r="I17" s="39"/>
      <c r="J17" s="1"/>
      <c r="K17" s="1"/>
      <c r="L17" s="1"/>
      <c r="M17" s="1"/>
      <c r="N17" s="1"/>
      <c r="O17" s="1"/>
      <c r="P17" s="1"/>
      <c r="Q17" s="1"/>
      <c r="R17" s="1"/>
      <c r="S17" s="1"/>
      <c r="T17" s="1"/>
      <c r="U17" s="1"/>
      <c r="V17" s="1"/>
      <c r="W17" s="1"/>
      <c r="X17" s="1"/>
      <c r="Y17" s="1"/>
      <c r="Z17" s="1"/>
    </row>
    <row r="18" spans="1:26" ht="15.5">
      <c r="A18" s="1"/>
      <c r="B18" s="1"/>
      <c r="C18" s="1"/>
      <c r="D18" s="41" t="s">
        <v>144</v>
      </c>
      <c r="E18" s="158">
        <f>Input!B30</f>
        <v>6.5</v>
      </c>
      <c r="F18" s="1"/>
      <c r="G18" s="43" t="s">
        <v>148</v>
      </c>
      <c r="H18" s="43"/>
      <c r="I18" s="39"/>
      <c r="J18" s="1"/>
      <c r="K18" s="1"/>
      <c r="L18" s="1"/>
      <c r="M18" s="1"/>
      <c r="N18" s="1"/>
      <c r="O18" s="1"/>
      <c r="P18" s="1"/>
      <c r="Q18" s="1"/>
      <c r="R18" s="1"/>
      <c r="S18" s="1"/>
      <c r="T18" s="1"/>
      <c r="U18" s="1"/>
      <c r="V18" s="1"/>
      <c r="W18" s="1"/>
      <c r="X18" s="1"/>
      <c r="Y18" s="1"/>
      <c r="Z18" s="1"/>
    </row>
    <row r="19" spans="1:26" ht="15.75" customHeight="1">
      <c r="A19" s="1"/>
      <c r="B19" s="1"/>
      <c r="C19" s="1"/>
      <c r="D19" s="2" t="s">
        <v>149</v>
      </c>
      <c r="E19" s="159">
        <f>ROUND(E15*E16/48*E18,4)</f>
        <v>0</v>
      </c>
      <c r="F19" s="2"/>
      <c r="G19" s="45" t="s">
        <v>150</v>
      </c>
      <c r="H19" s="45"/>
      <c r="I19" s="39" t="s">
        <v>51</v>
      </c>
      <c r="J19" s="1"/>
      <c r="K19" s="1"/>
      <c r="L19" s="1"/>
      <c r="M19" s="1"/>
      <c r="N19" s="1"/>
      <c r="O19" s="1"/>
      <c r="P19" s="1"/>
      <c r="Q19" s="1"/>
      <c r="R19" s="1"/>
      <c r="S19" s="1"/>
      <c r="T19" s="1"/>
      <c r="U19" s="1"/>
      <c r="V19" s="1"/>
      <c r="W19" s="1"/>
      <c r="X19" s="1"/>
      <c r="Y19" s="1"/>
      <c r="Z19" s="1"/>
    </row>
    <row r="20" spans="1:26" ht="15.5">
      <c r="A20" s="1"/>
      <c r="B20" s="1"/>
      <c r="C20" s="1"/>
      <c r="D20" s="1"/>
      <c r="E20" s="157"/>
      <c r="F20" s="1"/>
      <c r="G20" s="1"/>
      <c r="H20" s="1"/>
      <c r="I20" s="1"/>
      <c r="J20" s="1"/>
      <c r="K20" s="1"/>
      <c r="L20" s="1"/>
      <c r="M20" s="1"/>
      <c r="N20" s="1"/>
      <c r="O20" s="1"/>
      <c r="P20" s="1"/>
      <c r="Q20" s="1"/>
      <c r="R20" s="1"/>
      <c r="S20" s="1"/>
      <c r="T20" s="1"/>
      <c r="U20" s="1"/>
      <c r="V20" s="1"/>
      <c r="W20" s="1"/>
      <c r="X20" s="1"/>
      <c r="Y20" s="1"/>
      <c r="Z20" s="1"/>
    </row>
    <row r="21" spans="1:26" ht="15.75" customHeight="1">
      <c r="A21" s="1"/>
      <c r="B21" s="2" t="s">
        <v>151</v>
      </c>
      <c r="C21" s="1"/>
      <c r="D21" s="1"/>
      <c r="E21" s="157"/>
      <c r="F21" s="1"/>
      <c r="G21" s="1"/>
      <c r="H21" s="1"/>
      <c r="I21" s="1"/>
      <c r="J21" s="1"/>
      <c r="K21" s="1"/>
      <c r="L21" s="1"/>
      <c r="M21" s="1"/>
      <c r="N21" s="1"/>
      <c r="O21" s="1"/>
      <c r="P21" s="1"/>
      <c r="Q21" s="1"/>
      <c r="R21" s="1"/>
      <c r="S21" s="1"/>
      <c r="T21" s="1"/>
      <c r="U21" s="1"/>
      <c r="V21" s="1"/>
      <c r="W21" s="1"/>
      <c r="X21" s="1"/>
      <c r="Y21" s="1"/>
      <c r="Z21" s="1"/>
    </row>
    <row r="22" spans="1:26" ht="15.75" customHeight="1">
      <c r="A22" s="1"/>
      <c r="B22" s="1"/>
      <c r="C22" s="1"/>
      <c r="D22" s="1"/>
      <c r="E22" s="157">
        <f>Input!D23</f>
        <v>100</v>
      </c>
      <c r="F22" s="1"/>
      <c r="G22" s="5" t="s">
        <v>152</v>
      </c>
      <c r="H22" s="5"/>
      <c r="I22" s="39"/>
      <c r="J22" s="1"/>
      <c r="K22" s="1"/>
      <c r="L22" s="1"/>
      <c r="M22" s="1"/>
      <c r="N22" s="1"/>
      <c r="O22" s="1"/>
      <c r="P22" s="1"/>
      <c r="Q22" s="1"/>
      <c r="R22" s="1"/>
      <c r="S22" s="1"/>
      <c r="T22" s="1"/>
      <c r="U22" s="1"/>
      <c r="V22" s="1"/>
      <c r="W22" s="1"/>
      <c r="X22" s="1"/>
      <c r="Y22" s="1"/>
      <c r="Z22" s="1"/>
    </row>
    <row r="23" spans="1:26" ht="15.75" customHeight="1">
      <c r="A23" s="1"/>
      <c r="B23" s="1"/>
      <c r="C23" s="1"/>
      <c r="D23" s="1" t="s">
        <v>144</v>
      </c>
      <c r="E23" s="157">
        <f>Input!D31</f>
        <v>16</v>
      </c>
      <c r="F23" s="1"/>
      <c r="G23" s="5" t="s">
        <v>145</v>
      </c>
      <c r="H23" s="5"/>
      <c r="I23" s="39"/>
      <c r="J23" s="1"/>
      <c r="K23" s="1"/>
      <c r="L23" s="1"/>
      <c r="M23" s="1"/>
      <c r="N23" s="1"/>
      <c r="O23" s="1"/>
      <c r="P23" s="1"/>
      <c r="Q23" s="1"/>
      <c r="R23" s="1"/>
      <c r="S23" s="1"/>
      <c r="T23" s="1"/>
      <c r="U23" s="1"/>
      <c r="V23" s="1"/>
      <c r="W23" s="1"/>
      <c r="X23" s="1"/>
      <c r="Y23" s="1"/>
      <c r="Z23" s="1"/>
    </row>
    <row r="24" spans="1:26" ht="15.75" customHeight="1">
      <c r="A24" s="1"/>
      <c r="B24" s="1"/>
      <c r="C24" s="1"/>
      <c r="D24" s="40" t="s">
        <v>146</v>
      </c>
      <c r="E24" s="157">
        <v>2000</v>
      </c>
      <c r="F24" s="1"/>
      <c r="G24" s="40" t="s">
        <v>153</v>
      </c>
      <c r="H24" s="40"/>
      <c r="I24" s="39"/>
      <c r="J24" s="1"/>
      <c r="K24" s="1"/>
      <c r="L24" s="1"/>
      <c r="M24" s="1"/>
      <c r="N24" s="1"/>
      <c r="O24" s="1"/>
      <c r="P24" s="1"/>
      <c r="Q24" s="1"/>
      <c r="R24" s="1"/>
      <c r="S24" s="1"/>
      <c r="T24" s="1"/>
      <c r="U24" s="1"/>
      <c r="V24" s="1"/>
      <c r="W24" s="1"/>
      <c r="X24" s="1"/>
      <c r="Y24" s="1"/>
      <c r="Z24" s="1"/>
    </row>
    <row r="25" spans="1:26" ht="15.75" customHeight="1">
      <c r="A25" s="1"/>
      <c r="B25" s="1"/>
      <c r="C25" s="1"/>
      <c r="D25" s="41" t="s">
        <v>144</v>
      </c>
      <c r="E25" s="158">
        <f>Input!B31</f>
        <v>45</v>
      </c>
      <c r="F25" s="1"/>
      <c r="G25" s="43" t="s">
        <v>35</v>
      </c>
      <c r="H25" s="43"/>
      <c r="I25" s="39"/>
      <c r="J25" s="1"/>
      <c r="K25" s="1"/>
      <c r="L25" s="1"/>
      <c r="M25" s="1"/>
      <c r="N25" s="1"/>
      <c r="O25" s="1"/>
      <c r="P25" s="1"/>
      <c r="Q25" s="1"/>
      <c r="R25" s="1"/>
      <c r="S25" s="1"/>
      <c r="T25" s="1"/>
      <c r="U25" s="1"/>
      <c r="V25" s="1"/>
      <c r="W25" s="1"/>
      <c r="X25" s="1"/>
      <c r="Y25" s="1"/>
      <c r="Z25" s="1"/>
    </row>
    <row r="26" spans="1:26" ht="15.75" customHeight="1">
      <c r="A26" s="1"/>
      <c r="B26" s="1"/>
      <c r="C26" s="1"/>
      <c r="D26" s="2" t="s">
        <v>149</v>
      </c>
      <c r="E26" s="159">
        <f>ROUND(E25*(E22*E23/2000),4)</f>
        <v>36</v>
      </c>
      <c r="F26" s="2"/>
      <c r="G26" s="45" t="s">
        <v>150</v>
      </c>
      <c r="H26" s="45"/>
      <c r="I26" s="39" t="s">
        <v>51</v>
      </c>
      <c r="J26" s="1"/>
      <c r="K26" s="1"/>
      <c r="L26" s="1"/>
      <c r="M26" s="1"/>
      <c r="N26" s="1"/>
      <c r="O26" s="1"/>
      <c r="P26" s="1"/>
      <c r="Q26" s="1"/>
      <c r="R26" s="1"/>
      <c r="S26" s="1"/>
      <c r="T26" s="1"/>
      <c r="U26" s="1"/>
      <c r="V26" s="1"/>
      <c r="W26" s="1"/>
      <c r="X26" s="1"/>
      <c r="Y26" s="1"/>
      <c r="Z26" s="1"/>
    </row>
    <row r="27" spans="1:26" ht="15.75" customHeight="1">
      <c r="A27" s="1"/>
      <c r="B27" s="1"/>
      <c r="C27" s="1"/>
      <c r="D27" s="1"/>
      <c r="E27" s="157"/>
      <c r="F27" s="1"/>
      <c r="G27" s="1"/>
      <c r="H27" s="1"/>
      <c r="I27" s="1"/>
      <c r="J27" s="1"/>
      <c r="K27" s="1"/>
      <c r="L27" s="1"/>
      <c r="M27" s="1"/>
      <c r="N27" s="1"/>
      <c r="O27" s="1"/>
      <c r="P27" s="1"/>
      <c r="Q27" s="1"/>
      <c r="R27" s="1"/>
      <c r="S27" s="1"/>
      <c r="T27" s="1"/>
      <c r="U27" s="1"/>
      <c r="V27" s="1"/>
      <c r="W27" s="1"/>
      <c r="X27" s="1"/>
      <c r="Y27" s="1"/>
      <c r="Z27" s="1"/>
    </row>
    <row r="28" spans="1:26" ht="15.75" customHeight="1">
      <c r="A28" s="1"/>
      <c r="B28" s="2" t="s">
        <v>154</v>
      </c>
      <c r="C28" s="1"/>
      <c r="D28" s="1"/>
      <c r="E28" s="157"/>
      <c r="F28" s="1"/>
      <c r="G28" s="1"/>
      <c r="H28" s="1"/>
      <c r="I28" s="1"/>
      <c r="J28" s="1"/>
      <c r="K28" s="1"/>
      <c r="L28" s="1"/>
      <c r="M28" s="1"/>
      <c r="N28" s="1"/>
      <c r="O28" s="1"/>
      <c r="P28" s="1"/>
      <c r="Q28" s="1"/>
      <c r="R28" s="1"/>
      <c r="S28" s="1"/>
      <c r="T28" s="1"/>
      <c r="U28" s="1"/>
      <c r="V28" s="1"/>
      <c r="W28" s="1"/>
      <c r="X28" s="1"/>
      <c r="Y28" s="1"/>
      <c r="Z28" s="1"/>
    </row>
    <row r="29" spans="1:26" ht="15.75" customHeight="1">
      <c r="A29" s="1"/>
      <c r="B29" s="1"/>
      <c r="C29" s="1"/>
      <c r="D29" s="1"/>
      <c r="E29" s="157">
        <f>Input!G32</f>
        <v>20</v>
      </c>
      <c r="F29" s="1"/>
      <c r="G29" s="1" t="s">
        <v>155</v>
      </c>
      <c r="H29" s="1"/>
      <c r="I29" s="39"/>
      <c r="J29" s="1"/>
      <c r="K29" s="1"/>
      <c r="L29" s="1"/>
      <c r="M29" s="1"/>
      <c r="N29" s="1"/>
      <c r="O29" s="1"/>
      <c r="P29" s="1"/>
      <c r="Q29" s="1"/>
      <c r="R29" s="1"/>
      <c r="S29" s="1"/>
      <c r="T29" s="1"/>
      <c r="U29" s="1"/>
      <c r="V29" s="1"/>
      <c r="W29" s="1"/>
      <c r="X29" s="1"/>
      <c r="Y29" s="1"/>
      <c r="Z29" s="1"/>
    </row>
    <row r="30" spans="1:26" ht="15.75" customHeight="1">
      <c r="A30" s="1"/>
      <c r="B30" s="1"/>
      <c r="C30" s="1"/>
      <c r="D30" s="1" t="s">
        <v>144</v>
      </c>
      <c r="E30" s="157">
        <f>Input!D32</f>
        <v>0</v>
      </c>
      <c r="F30" s="1"/>
      <c r="G30" s="1" t="s">
        <v>145</v>
      </c>
      <c r="H30" s="1"/>
      <c r="I30" s="39"/>
      <c r="J30" s="1"/>
      <c r="K30" s="1"/>
      <c r="L30" s="1"/>
      <c r="M30" s="1"/>
      <c r="N30" s="1"/>
      <c r="O30" s="1"/>
      <c r="P30" s="1"/>
      <c r="Q30" s="1"/>
      <c r="R30" s="1"/>
      <c r="S30" s="1"/>
      <c r="T30" s="1"/>
      <c r="U30" s="1"/>
      <c r="V30" s="1"/>
      <c r="W30" s="1"/>
      <c r="X30" s="1"/>
      <c r="Y30" s="1"/>
      <c r="Z30" s="1"/>
    </row>
    <row r="31" spans="1:26" ht="15.75" customHeight="1">
      <c r="A31" s="1"/>
      <c r="B31" s="1"/>
      <c r="C31" s="1"/>
      <c r="D31" s="40" t="s">
        <v>146</v>
      </c>
      <c r="E31" s="157">
        <v>2000</v>
      </c>
      <c r="F31" s="1"/>
      <c r="G31" s="40" t="s">
        <v>153</v>
      </c>
      <c r="H31" s="1"/>
      <c r="I31" s="39"/>
      <c r="J31" s="1"/>
      <c r="K31" s="1"/>
      <c r="L31" s="1"/>
      <c r="M31" s="1"/>
      <c r="N31" s="1"/>
      <c r="O31" s="1"/>
      <c r="P31" s="1"/>
      <c r="Q31" s="1"/>
      <c r="R31" s="1"/>
      <c r="S31" s="1"/>
      <c r="T31" s="1"/>
      <c r="U31" s="1"/>
      <c r="V31" s="1"/>
      <c r="W31" s="1"/>
      <c r="X31" s="1"/>
      <c r="Y31" s="1"/>
      <c r="Z31" s="1"/>
    </row>
    <row r="32" spans="1:26" ht="15.75" customHeight="1">
      <c r="A32" s="1"/>
      <c r="B32" s="1"/>
      <c r="C32" s="1"/>
      <c r="D32" s="41" t="s">
        <v>144</v>
      </c>
      <c r="E32" s="158">
        <f>Input!B32</f>
        <v>170</v>
      </c>
      <c r="F32" s="1"/>
      <c r="G32" s="41" t="s">
        <v>35</v>
      </c>
      <c r="H32" s="41"/>
      <c r="I32" s="39"/>
      <c r="J32" s="1"/>
      <c r="K32" s="1"/>
      <c r="L32" s="1"/>
      <c r="M32" s="1"/>
      <c r="N32" s="1"/>
      <c r="O32" s="1"/>
      <c r="P32" s="1"/>
      <c r="Q32" s="1"/>
      <c r="R32" s="1"/>
      <c r="S32" s="1"/>
      <c r="T32" s="1"/>
      <c r="U32" s="1"/>
      <c r="V32" s="1"/>
      <c r="W32" s="1"/>
      <c r="X32" s="1"/>
      <c r="Y32" s="1"/>
      <c r="Z32" s="1"/>
    </row>
    <row r="33" spans="1:26" ht="15.75" customHeight="1">
      <c r="A33" s="1"/>
      <c r="B33" s="1"/>
      <c r="C33" s="1"/>
      <c r="D33" s="2" t="s">
        <v>149</v>
      </c>
      <c r="E33" s="159">
        <f>ROUND((E29*E30/E31)*E32,4)</f>
        <v>0</v>
      </c>
      <c r="F33" s="2"/>
      <c r="G33" s="2" t="s">
        <v>150</v>
      </c>
      <c r="H33" s="2"/>
      <c r="I33" s="39" t="s">
        <v>51</v>
      </c>
      <c r="J33" s="1"/>
      <c r="K33" s="1"/>
      <c r="L33" s="1"/>
      <c r="M33" s="1"/>
      <c r="N33" s="1"/>
      <c r="O33" s="1"/>
      <c r="P33" s="1"/>
      <c r="Q33" s="1"/>
      <c r="R33" s="1"/>
      <c r="S33" s="1"/>
      <c r="T33" s="1"/>
      <c r="U33" s="1"/>
      <c r="V33" s="1"/>
      <c r="W33" s="1"/>
      <c r="X33" s="1"/>
      <c r="Y33" s="1"/>
      <c r="Z33" s="1"/>
    </row>
    <row r="34" spans="1:26" ht="15.75" customHeight="1">
      <c r="A34" s="1"/>
      <c r="B34" s="1"/>
      <c r="C34" s="1"/>
      <c r="D34" s="1"/>
      <c r="E34" s="157"/>
      <c r="F34" s="1"/>
      <c r="G34" s="1"/>
      <c r="H34" s="1"/>
      <c r="I34" s="1"/>
      <c r="J34" s="1"/>
      <c r="K34" s="1"/>
      <c r="L34" s="1"/>
      <c r="M34" s="1"/>
      <c r="N34" s="1"/>
      <c r="O34" s="1"/>
      <c r="P34" s="1"/>
      <c r="Q34" s="1"/>
      <c r="R34" s="1"/>
      <c r="S34" s="1"/>
      <c r="T34" s="1"/>
      <c r="U34" s="1"/>
      <c r="V34" s="1"/>
      <c r="W34" s="1"/>
      <c r="X34" s="1"/>
      <c r="Y34" s="1"/>
      <c r="Z34" s="1"/>
    </row>
    <row r="35" spans="1:26" ht="15.75" customHeight="1">
      <c r="A35" s="1"/>
      <c r="B35" s="2" t="s">
        <v>156</v>
      </c>
      <c r="C35" s="1"/>
      <c r="D35" s="1"/>
      <c r="E35" s="157"/>
      <c r="F35" s="1"/>
      <c r="G35" s="1"/>
      <c r="H35" s="1"/>
      <c r="I35" s="1"/>
      <c r="J35" s="1"/>
      <c r="K35" s="1"/>
      <c r="L35" s="1"/>
      <c r="M35" s="1"/>
      <c r="N35" s="1"/>
      <c r="O35" s="1"/>
      <c r="P35" s="1"/>
      <c r="Q35" s="1"/>
      <c r="R35" s="1"/>
      <c r="S35" s="1"/>
      <c r="T35" s="1"/>
      <c r="U35" s="1"/>
      <c r="V35" s="1"/>
      <c r="W35" s="1"/>
      <c r="X35" s="1"/>
      <c r="Y35" s="1"/>
      <c r="Z35" s="1"/>
    </row>
    <row r="36" spans="1:26" ht="15.75" customHeight="1">
      <c r="A36" s="1"/>
      <c r="B36" s="1"/>
      <c r="C36" s="1"/>
      <c r="D36" s="1"/>
      <c r="E36" s="157">
        <f>Input!G33</f>
        <v>100</v>
      </c>
      <c r="F36" s="1"/>
      <c r="G36" s="1" t="s">
        <v>157</v>
      </c>
      <c r="H36" s="1"/>
      <c r="I36" s="39"/>
      <c r="J36" s="1"/>
      <c r="K36" s="1"/>
      <c r="L36" s="1"/>
      <c r="M36" s="1"/>
      <c r="N36" s="1"/>
      <c r="O36" s="1"/>
      <c r="P36" s="1"/>
      <c r="Q36" s="1"/>
      <c r="R36" s="1"/>
      <c r="S36" s="1"/>
      <c r="T36" s="1"/>
      <c r="U36" s="1"/>
      <c r="V36" s="1"/>
      <c r="W36" s="1"/>
      <c r="X36" s="1"/>
      <c r="Y36" s="1"/>
      <c r="Z36" s="1"/>
    </row>
    <row r="37" spans="1:26" ht="15.75" customHeight="1">
      <c r="A37" s="1"/>
      <c r="B37" s="1"/>
      <c r="C37" s="1"/>
      <c r="D37" s="1" t="s">
        <v>144</v>
      </c>
      <c r="E37" s="157">
        <f>Input!D33</f>
        <v>1</v>
      </c>
      <c r="F37" s="1"/>
      <c r="G37" s="1" t="s">
        <v>145</v>
      </c>
      <c r="H37" s="1"/>
      <c r="I37" s="39"/>
      <c r="J37" s="1"/>
      <c r="K37" s="1"/>
      <c r="L37" s="1"/>
      <c r="M37" s="1"/>
      <c r="N37" s="1"/>
      <c r="O37" s="1"/>
      <c r="P37" s="1"/>
      <c r="Q37" s="1"/>
      <c r="R37" s="1"/>
      <c r="S37" s="1"/>
      <c r="T37" s="1"/>
      <c r="U37" s="1"/>
      <c r="V37" s="1"/>
      <c r="W37" s="1"/>
      <c r="X37" s="1"/>
      <c r="Y37" s="1"/>
      <c r="Z37" s="1"/>
    </row>
    <row r="38" spans="1:26" ht="15.75" customHeight="1">
      <c r="A38" s="1"/>
      <c r="B38" s="1"/>
      <c r="C38" s="1"/>
      <c r="D38" s="40" t="s">
        <v>146</v>
      </c>
      <c r="E38" s="157">
        <v>2205</v>
      </c>
      <c r="F38" s="1"/>
      <c r="G38" s="40" t="s">
        <v>158</v>
      </c>
      <c r="H38" s="1"/>
      <c r="I38" s="39"/>
      <c r="J38" s="1"/>
      <c r="K38" s="1"/>
      <c r="L38" s="1"/>
      <c r="M38" s="1"/>
      <c r="N38" s="1"/>
      <c r="O38" s="1"/>
      <c r="P38" s="1"/>
      <c r="Q38" s="1"/>
      <c r="R38" s="1"/>
      <c r="S38" s="1"/>
      <c r="T38" s="1"/>
      <c r="U38" s="1"/>
      <c r="V38" s="1"/>
      <c r="W38" s="1"/>
      <c r="X38" s="1"/>
      <c r="Y38" s="1"/>
      <c r="Z38" s="1"/>
    </row>
    <row r="39" spans="1:26" ht="15.75" customHeight="1">
      <c r="A39" s="1"/>
      <c r="B39" s="1"/>
      <c r="C39" s="1"/>
      <c r="D39" s="41" t="s">
        <v>144</v>
      </c>
      <c r="E39" s="158">
        <f>Input!B33</f>
        <v>300</v>
      </c>
      <c r="F39" s="1"/>
      <c r="G39" s="41" t="s">
        <v>38</v>
      </c>
      <c r="H39" s="41"/>
      <c r="I39" s="39"/>
      <c r="J39" s="1"/>
      <c r="K39" s="1"/>
      <c r="L39" s="1"/>
      <c r="M39" s="1"/>
      <c r="N39" s="1"/>
      <c r="O39" s="1"/>
      <c r="P39" s="1"/>
      <c r="Q39" s="1"/>
      <c r="R39" s="1"/>
      <c r="S39" s="1"/>
      <c r="T39" s="1"/>
      <c r="U39" s="1"/>
      <c r="V39" s="1"/>
      <c r="W39" s="1"/>
      <c r="X39" s="1"/>
      <c r="Y39" s="1"/>
      <c r="Z39" s="1"/>
    </row>
    <row r="40" spans="1:26" ht="15.75" customHeight="1">
      <c r="A40" s="1"/>
      <c r="B40" s="1"/>
      <c r="C40" s="1"/>
      <c r="D40" s="2" t="s">
        <v>149</v>
      </c>
      <c r="E40" s="159">
        <f>ROUND((E36*E37/E38)*E39,4)</f>
        <v>13.605399999999999</v>
      </c>
      <c r="F40" s="2"/>
      <c r="G40" s="2" t="s">
        <v>150</v>
      </c>
      <c r="H40" s="2"/>
      <c r="I40" s="39" t="s">
        <v>51</v>
      </c>
      <c r="J40" s="1"/>
      <c r="K40" s="1"/>
      <c r="L40" s="1"/>
      <c r="M40" s="1"/>
      <c r="N40" s="1"/>
      <c r="O40" s="1"/>
      <c r="P40" s="1"/>
      <c r="Q40" s="1"/>
      <c r="R40" s="1"/>
      <c r="S40" s="1"/>
      <c r="T40" s="1"/>
      <c r="U40" s="1"/>
      <c r="V40" s="1"/>
      <c r="W40" s="1"/>
      <c r="X40" s="1"/>
      <c r="Y40" s="1"/>
      <c r="Z40" s="1"/>
    </row>
    <row r="41" spans="1:26" ht="15.75" customHeight="1">
      <c r="A41" s="1"/>
      <c r="B41" s="1"/>
      <c r="C41" s="1"/>
      <c r="D41" s="1"/>
      <c r="E41" s="157"/>
      <c r="F41" s="1"/>
      <c r="G41" s="1"/>
      <c r="H41" s="1"/>
      <c r="I41" s="1"/>
      <c r="J41" s="1"/>
      <c r="K41" s="1"/>
      <c r="L41" s="1"/>
      <c r="M41" s="1"/>
      <c r="N41" s="1"/>
      <c r="O41" s="1"/>
      <c r="P41" s="1"/>
      <c r="Q41" s="1"/>
      <c r="R41" s="1"/>
      <c r="S41" s="1"/>
      <c r="T41" s="1"/>
      <c r="U41" s="1"/>
      <c r="V41" s="1"/>
      <c r="W41" s="1"/>
      <c r="X41" s="1"/>
      <c r="Y41" s="1"/>
      <c r="Z41" s="1"/>
    </row>
    <row r="42" spans="1:26" ht="15.75" customHeight="1">
      <c r="A42" s="1"/>
      <c r="B42" s="2" t="s">
        <v>159</v>
      </c>
      <c r="C42" s="1"/>
      <c r="D42" s="1"/>
      <c r="E42" s="157"/>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57"/>
      <c r="F43" s="1"/>
      <c r="G43" s="1"/>
      <c r="H43" s="1"/>
      <c r="I43" s="1"/>
      <c r="J43" s="1"/>
      <c r="K43" s="1"/>
      <c r="L43" s="1"/>
      <c r="M43" s="1"/>
      <c r="N43" s="1"/>
      <c r="O43" s="1"/>
      <c r="P43" s="1"/>
      <c r="Q43" s="1"/>
      <c r="R43" s="1"/>
      <c r="S43" s="1"/>
      <c r="T43" s="1"/>
      <c r="U43" s="1"/>
      <c r="V43" s="1"/>
      <c r="W43" s="1"/>
      <c r="X43" s="1"/>
      <c r="Y43" s="1"/>
      <c r="Z43" s="1"/>
    </row>
    <row r="44" spans="1:26" ht="15.75" customHeight="1">
      <c r="A44" s="1"/>
      <c r="B44" s="2" t="s">
        <v>160</v>
      </c>
      <c r="C44" s="1"/>
      <c r="D44" s="1"/>
      <c r="E44" s="157"/>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t="s">
        <v>161</v>
      </c>
      <c r="D45" s="1"/>
      <c r="E45" s="157"/>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57">
        <f>Input!E44*Input!D15/100</f>
        <v>3</v>
      </c>
      <c r="F46" s="1"/>
      <c r="G46" s="1" t="s">
        <v>162</v>
      </c>
      <c r="H46" s="1"/>
      <c r="I46" s="39"/>
      <c r="J46" s="1"/>
      <c r="K46" s="1"/>
      <c r="L46" s="1"/>
      <c r="M46" s="1"/>
      <c r="N46" s="1"/>
      <c r="O46" s="1"/>
      <c r="P46" s="1"/>
      <c r="Q46" s="1"/>
      <c r="R46" s="1"/>
      <c r="S46" s="1"/>
      <c r="T46" s="1"/>
      <c r="U46" s="1"/>
      <c r="V46" s="1"/>
      <c r="W46" s="1"/>
      <c r="X46" s="1"/>
      <c r="Y46" s="1"/>
      <c r="Z46" s="1"/>
    </row>
    <row r="47" spans="1:26" ht="15.75" customHeight="1">
      <c r="A47" s="1"/>
      <c r="B47" s="1"/>
      <c r="C47" s="1"/>
      <c r="D47" s="1"/>
      <c r="E47" s="157">
        <f>Input!E45</f>
        <v>1</v>
      </c>
      <c r="F47" s="1"/>
      <c r="G47" s="1" t="s">
        <v>163</v>
      </c>
      <c r="H47" s="1"/>
      <c r="I47" s="1"/>
      <c r="J47" s="1"/>
      <c r="K47" s="1"/>
      <c r="L47" s="1"/>
      <c r="M47" s="1"/>
      <c r="N47" s="1"/>
      <c r="O47" s="1"/>
      <c r="P47" s="1"/>
      <c r="Q47" s="1"/>
      <c r="R47" s="1"/>
      <c r="S47" s="1"/>
      <c r="T47" s="1"/>
      <c r="U47" s="1"/>
      <c r="V47" s="1"/>
      <c r="W47" s="1"/>
      <c r="X47" s="1"/>
      <c r="Y47" s="1"/>
      <c r="Z47" s="1"/>
    </row>
    <row r="48" spans="1:26" ht="15.75" customHeight="1">
      <c r="A48" s="1"/>
      <c r="B48" s="1"/>
      <c r="C48" s="1" t="s">
        <v>164</v>
      </c>
      <c r="D48" s="1"/>
      <c r="E48" s="157"/>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57">
        <f>Input!E46</f>
        <v>1.2</v>
      </c>
      <c r="F49" s="1"/>
      <c r="G49" s="1" t="s">
        <v>49</v>
      </c>
      <c r="H49" s="1"/>
      <c r="I49" s="39"/>
      <c r="J49" s="1"/>
      <c r="K49" s="1"/>
      <c r="L49" s="1"/>
      <c r="M49" s="1"/>
      <c r="N49" s="1"/>
      <c r="O49" s="1"/>
      <c r="P49" s="1"/>
      <c r="Q49" s="1"/>
      <c r="R49" s="1"/>
      <c r="S49" s="1"/>
      <c r="T49" s="1"/>
      <c r="U49" s="1"/>
      <c r="V49" s="1"/>
      <c r="W49" s="1"/>
      <c r="X49" s="1"/>
      <c r="Y49" s="1"/>
      <c r="Z49" s="1"/>
    </row>
    <row r="50" spans="1:26" ht="15.75" customHeight="1">
      <c r="A50" s="1"/>
      <c r="B50" s="1"/>
      <c r="C50" s="1"/>
      <c r="D50" s="1" t="s">
        <v>144</v>
      </c>
      <c r="E50" s="157">
        <f>Input!D15</f>
        <v>600</v>
      </c>
      <c r="F50" s="1"/>
      <c r="G50" s="1" t="s">
        <v>165</v>
      </c>
      <c r="H50" s="1"/>
      <c r="I50" s="39"/>
      <c r="J50" s="1"/>
      <c r="K50" s="1"/>
      <c r="L50" s="1"/>
      <c r="M50" s="1"/>
      <c r="N50" s="1"/>
      <c r="O50" s="1"/>
      <c r="P50" s="1"/>
      <c r="Q50" s="1"/>
      <c r="R50" s="1"/>
      <c r="S50" s="1"/>
      <c r="T50" s="1"/>
      <c r="U50" s="1"/>
      <c r="V50" s="1"/>
      <c r="W50" s="1"/>
      <c r="X50" s="1"/>
      <c r="Y50" s="1"/>
      <c r="Z50" s="1"/>
    </row>
    <row r="51" spans="1:26" ht="15.75" customHeight="1">
      <c r="A51" s="1"/>
      <c r="B51" s="1"/>
      <c r="C51" s="1"/>
      <c r="D51" s="41" t="s">
        <v>146</v>
      </c>
      <c r="E51" s="158">
        <v>100</v>
      </c>
      <c r="F51" s="1"/>
      <c r="G51" s="41" t="s">
        <v>166</v>
      </c>
      <c r="H51" s="41"/>
      <c r="I51" s="39"/>
      <c r="J51" s="1"/>
      <c r="K51" s="1"/>
      <c r="L51" s="1"/>
      <c r="M51" s="1"/>
      <c r="N51" s="1"/>
      <c r="O51" s="1"/>
      <c r="P51" s="1"/>
      <c r="Q51" s="1"/>
      <c r="R51" s="1"/>
      <c r="S51" s="1"/>
      <c r="T51" s="1"/>
      <c r="U51" s="1"/>
      <c r="V51" s="1"/>
      <c r="W51" s="1"/>
      <c r="X51" s="1"/>
      <c r="Y51" s="1"/>
      <c r="Z51" s="1"/>
    </row>
    <row r="52" spans="1:26" ht="15.75" customHeight="1">
      <c r="A52" s="1"/>
      <c r="B52" s="1"/>
      <c r="C52" s="1"/>
      <c r="D52" s="1" t="s">
        <v>149</v>
      </c>
      <c r="E52" s="157">
        <f>ROUND((E49*E50)/E51,4)</f>
        <v>7.2</v>
      </c>
      <c r="F52" s="1"/>
      <c r="G52" s="1" t="s">
        <v>150</v>
      </c>
      <c r="H52" s="1"/>
      <c r="I52" s="39"/>
      <c r="J52" s="1"/>
      <c r="K52" s="1"/>
      <c r="L52" s="1"/>
      <c r="M52" s="1"/>
      <c r="N52" s="1"/>
      <c r="O52" s="1"/>
      <c r="P52" s="1"/>
      <c r="Q52" s="1"/>
      <c r="R52" s="1"/>
      <c r="S52" s="1"/>
      <c r="T52" s="1"/>
      <c r="U52" s="1"/>
      <c r="V52" s="1"/>
      <c r="W52" s="1"/>
      <c r="X52" s="1"/>
      <c r="Y52" s="1"/>
      <c r="Z52" s="1"/>
    </row>
    <row r="53" spans="1:26" ht="15.75" customHeight="1">
      <c r="A53" s="1"/>
      <c r="B53" s="1"/>
      <c r="C53" s="1"/>
      <c r="D53" s="1"/>
      <c r="E53" s="157"/>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57">
        <f>Input!D15</f>
        <v>600</v>
      </c>
      <c r="F54" s="1"/>
      <c r="G54" s="1" t="s">
        <v>165</v>
      </c>
      <c r="H54" s="1"/>
      <c r="I54" s="39"/>
      <c r="J54" s="1"/>
      <c r="K54" s="1"/>
      <c r="L54" s="1"/>
      <c r="M54" s="1"/>
      <c r="N54" s="1"/>
      <c r="O54" s="1"/>
      <c r="P54" s="1"/>
      <c r="Q54" s="1"/>
      <c r="R54" s="1"/>
      <c r="S54" s="1"/>
      <c r="T54" s="1"/>
      <c r="U54" s="1"/>
      <c r="V54" s="1"/>
      <c r="W54" s="1"/>
      <c r="X54" s="1"/>
      <c r="Y54" s="1"/>
      <c r="Z54" s="1"/>
    </row>
    <row r="55" spans="1:26" ht="15.75" customHeight="1">
      <c r="A55" s="1"/>
      <c r="B55" s="1"/>
      <c r="C55" s="1"/>
      <c r="D55" s="1" t="s">
        <v>144</v>
      </c>
      <c r="E55" s="157">
        <f>Input!D16</f>
        <v>304</v>
      </c>
      <c r="F55" s="1"/>
      <c r="G55" s="1" t="s">
        <v>49</v>
      </c>
      <c r="H55" s="1"/>
      <c r="I55" s="39"/>
      <c r="J55" s="1"/>
      <c r="K55" s="1"/>
      <c r="L55" s="1"/>
      <c r="M55" s="1"/>
      <c r="N55" s="1"/>
      <c r="O55" s="1"/>
      <c r="P55" s="1"/>
      <c r="Q55" s="1"/>
      <c r="R55" s="1"/>
      <c r="S55" s="1"/>
      <c r="T55" s="1"/>
      <c r="U55" s="1"/>
      <c r="V55" s="1"/>
      <c r="W55" s="1"/>
      <c r="X55" s="1"/>
      <c r="Y55" s="1"/>
      <c r="Z55" s="1"/>
    </row>
    <row r="56" spans="1:26" ht="15.75" customHeight="1">
      <c r="A56" s="1"/>
      <c r="B56" s="1"/>
      <c r="C56" s="1"/>
      <c r="D56" s="41" t="s">
        <v>146</v>
      </c>
      <c r="E56" s="158">
        <v>100</v>
      </c>
      <c r="F56" s="1"/>
      <c r="G56" s="41" t="s">
        <v>166</v>
      </c>
      <c r="H56" s="41"/>
      <c r="I56" s="39" t="s">
        <v>51</v>
      </c>
      <c r="J56" s="1"/>
      <c r="K56" s="1"/>
      <c r="L56" s="1"/>
      <c r="M56" s="1"/>
      <c r="N56" s="1"/>
      <c r="O56" s="1"/>
      <c r="P56" s="1"/>
      <c r="Q56" s="1"/>
      <c r="R56" s="1"/>
      <c r="S56" s="1"/>
      <c r="T56" s="1"/>
      <c r="U56" s="1"/>
      <c r="V56" s="1"/>
      <c r="W56" s="1"/>
      <c r="X56" s="1"/>
      <c r="Y56" s="1"/>
      <c r="Z56" s="1"/>
    </row>
    <row r="57" spans="1:26" ht="15.75" customHeight="1">
      <c r="A57" s="1"/>
      <c r="B57" s="1"/>
      <c r="C57" s="1"/>
      <c r="D57" s="1" t="s">
        <v>149</v>
      </c>
      <c r="E57" s="157">
        <f>ROUND(E54/100*E55,4)</f>
        <v>1824</v>
      </c>
      <c r="F57" s="1"/>
      <c r="G57" s="1" t="s">
        <v>150</v>
      </c>
      <c r="H57" s="1"/>
      <c r="I57" s="39"/>
      <c r="J57" s="1"/>
      <c r="K57" s="1"/>
      <c r="L57" s="1"/>
      <c r="M57" s="1"/>
      <c r="N57" s="1"/>
      <c r="O57" s="1"/>
      <c r="P57" s="1"/>
      <c r="Q57" s="1"/>
      <c r="R57" s="1"/>
      <c r="S57" s="1"/>
      <c r="T57" s="1"/>
      <c r="U57" s="1"/>
      <c r="V57" s="1"/>
      <c r="W57" s="1"/>
      <c r="X57" s="1"/>
      <c r="Y57" s="1"/>
      <c r="Z57" s="1"/>
    </row>
    <row r="58" spans="1:26" ht="15.75" customHeight="1">
      <c r="A58" s="1"/>
      <c r="B58" s="1"/>
      <c r="C58" s="1"/>
      <c r="D58" s="1"/>
      <c r="E58" s="157"/>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2" t="s">
        <v>6</v>
      </c>
      <c r="D59" s="2" t="s">
        <v>149</v>
      </c>
      <c r="E59" s="159">
        <f>ROUND(E46+E47+E52+E57,4)</f>
        <v>1835.2</v>
      </c>
      <c r="F59" s="2"/>
      <c r="G59" s="2" t="s">
        <v>150</v>
      </c>
      <c r="H59" s="2"/>
      <c r="I59" s="39"/>
      <c r="J59" s="1"/>
      <c r="K59" s="1"/>
      <c r="L59" s="1"/>
      <c r="M59" s="1"/>
      <c r="N59" s="1"/>
      <c r="O59" s="1"/>
      <c r="P59" s="1"/>
      <c r="Q59" s="1"/>
      <c r="R59" s="1"/>
      <c r="S59" s="1"/>
      <c r="T59" s="1"/>
      <c r="U59" s="1"/>
      <c r="V59" s="1"/>
      <c r="W59" s="1"/>
      <c r="X59" s="1"/>
      <c r="Y59" s="1"/>
      <c r="Z59" s="1"/>
    </row>
    <row r="60" spans="1:26" ht="15.75" customHeight="1">
      <c r="A60" s="1"/>
      <c r="B60" s="1"/>
      <c r="C60" s="1"/>
      <c r="D60" s="1"/>
      <c r="E60" s="157"/>
      <c r="F60" s="1"/>
      <c r="G60" s="1"/>
      <c r="H60" s="1"/>
      <c r="I60" s="1"/>
      <c r="J60" s="1"/>
      <c r="K60" s="1"/>
      <c r="L60" s="1"/>
      <c r="M60" s="1"/>
      <c r="N60" s="1"/>
      <c r="O60" s="1"/>
      <c r="P60" s="1"/>
      <c r="Q60" s="1"/>
      <c r="R60" s="1"/>
      <c r="S60" s="1"/>
      <c r="T60" s="1"/>
      <c r="U60" s="1"/>
      <c r="V60" s="1"/>
      <c r="W60" s="1"/>
      <c r="X60" s="1"/>
      <c r="Y60" s="1"/>
      <c r="Z60" s="1"/>
    </row>
    <row r="61" spans="1:26" ht="15.75" customHeight="1">
      <c r="A61" s="1"/>
      <c r="B61" s="2" t="s">
        <v>167</v>
      </c>
      <c r="C61" s="1"/>
      <c r="D61" s="1"/>
      <c r="E61" s="157"/>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57">
        <f>Input!E49</f>
        <v>0.5</v>
      </c>
      <c r="F62" s="1"/>
      <c r="G62" s="1" t="s">
        <v>168</v>
      </c>
      <c r="H62" s="1"/>
      <c r="I62" s="39"/>
      <c r="J62" s="1"/>
      <c r="K62" s="1"/>
      <c r="L62" s="1"/>
      <c r="M62" s="1"/>
      <c r="N62" s="1"/>
      <c r="O62" s="1"/>
      <c r="P62" s="1"/>
      <c r="Q62" s="1"/>
      <c r="R62" s="1"/>
      <c r="S62" s="1"/>
      <c r="T62" s="1"/>
      <c r="U62" s="1"/>
      <c r="V62" s="1"/>
      <c r="W62" s="1"/>
      <c r="X62" s="1"/>
      <c r="Y62" s="1"/>
      <c r="Z62" s="1"/>
    </row>
    <row r="63" spans="1:26" ht="15.75" customHeight="1">
      <c r="A63" s="1"/>
      <c r="B63" s="1"/>
      <c r="C63" s="1"/>
      <c r="D63" s="41" t="s">
        <v>144</v>
      </c>
      <c r="E63" s="158">
        <f>Input!E50</f>
        <v>55</v>
      </c>
      <c r="F63" s="1"/>
      <c r="G63" s="41" t="s">
        <v>35</v>
      </c>
      <c r="H63" s="41"/>
      <c r="I63" s="39"/>
      <c r="J63" s="1"/>
      <c r="K63" s="1"/>
      <c r="L63" s="1"/>
      <c r="M63" s="1"/>
      <c r="N63" s="1"/>
      <c r="O63" s="1"/>
      <c r="P63" s="1"/>
      <c r="Q63" s="1"/>
      <c r="R63" s="1"/>
      <c r="S63" s="1"/>
      <c r="T63" s="1"/>
      <c r="U63" s="1"/>
      <c r="V63" s="1"/>
      <c r="W63" s="1"/>
      <c r="X63" s="1"/>
      <c r="Y63" s="1"/>
      <c r="Z63" s="1"/>
    </row>
    <row r="64" spans="1:26" ht="15.75" customHeight="1">
      <c r="A64" s="1"/>
      <c r="B64" s="1"/>
      <c r="C64" s="1"/>
      <c r="D64" s="2" t="s">
        <v>149</v>
      </c>
      <c r="E64" s="159">
        <f>ROUND(E62*E63,4)</f>
        <v>27.5</v>
      </c>
      <c r="F64" s="2"/>
      <c r="G64" s="2" t="s">
        <v>150</v>
      </c>
      <c r="H64" s="2"/>
      <c r="I64" s="47"/>
      <c r="J64" s="1"/>
      <c r="K64" s="1"/>
      <c r="L64" s="1"/>
      <c r="M64" s="1"/>
      <c r="N64" s="1"/>
      <c r="O64" s="1"/>
      <c r="P64" s="1"/>
      <c r="Q64" s="1"/>
      <c r="R64" s="1"/>
      <c r="S64" s="1"/>
      <c r="T64" s="1"/>
      <c r="U64" s="1"/>
      <c r="V64" s="1"/>
      <c r="W64" s="1"/>
      <c r="X64" s="1"/>
      <c r="Y64" s="1"/>
      <c r="Z64" s="1"/>
    </row>
    <row r="65" spans="1:26" ht="15.75" customHeight="1">
      <c r="A65" s="1"/>
      <c r="B65" s="1"/>
      <c r="C65" s="1"/>
      <c r="D65" s="1"/>
      <c r="E65" s="157"/>
      <c r="F65" s="1"/>
      <c r="G65" s="1"/>
      <c r="H65" s="1"/>
      <c r="I65" s="1"/>
      <c r="J65" s="1"/>
      <c r="K65" s="1"/>
      <c r="L65" s="1"/>
      <c r="M65" s="1"/>
      <c r="N65" s="1"/>
      <c r="O65" s="1"/>
      <c r="P65" s="1"/>
      <c r="Q65" s="1"/>
      <c r="R65" s="1"/>
      <c r="S65" s="1"/>
      <c r="T65" s="1"/>
      <c r="U65" s="1"/>
      <c r="V65" s="1"/>
      <c r="W65" s="1"/>
      <c r="X65" s="1"/>
      <c r="Y65" s="1"/>
      <c r="Z65" s="1"/>
    </row>
    <row r="66" spans="1:26" ht="15.75" customHeight="1">
      <c r="A66" s="1"/>
      <c r="B66" s="2" t="s">
        <v>169</v>
      </c>
      <c r="C66" s="1"/>
      <c r="D66" s="1"/>
      <c r="E66" s="157"/>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t="s">
        <v>170</v>
      </c>
      <c r="D67" s="1"/>
      <c r="E67" s="157"/>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57">
        <f>Input!E54</f>
        <v>2.5</v>
      </c>
      <c r="F68" s="1"/>
      <c r="G68" s="1" t="s">
        <v>171</v>
      </c>
      <c r="H68" s="1"/>
      <c r="I68" s="39"/>
      <c r="J68" s="1"/>
      <c r="K68" s="1"/>
      <c r="L68" s="1"/>
      <c r="M68" s="1"/>
      <c r="N68" s="1"/>
      <c r="O68" s="1"/>
      <c r="P68" s="1"/>
      <c r="Q68" s="1"/>
      <c r="R68" s="1"/>
      <c r="S68" s="1"/>
      <c r="T68" s="1"/>
      <c r="U68" s="1"/>
      <c r="V68" s="1"/>
      <c r="W68" s="1"/>
      <c r="X68" s="1"/>
      <c r="Y68" s="1"/>
      <c r="Z68" s="1"/>
    </row>
    <row r="69" spans="1:26" ht="15.75" customHeight="1">
      <c r="A69" s="1"/>
      <c r="B69" s="1"/>
      <c r="C69" s="1"/>
      <c r="D69" s="1" t="s">
        <v>172</v>
      </c>
      <c r="E69" s="157">
        <f>Input!E55</f>
        <v>0.5</v>
      </c>
      <c r="F69" s="1"/>
      <c r="G69" s="1" t="s">
        <v>173</v>
      </c>
      <c r="H69" s="1"/>
      <c r="I69" s="39"/>
      <c r="J69" s="1"/>
      <c r="K69" s="1"/>
      <c r="L69" s="1"/>
      <c r="M69" s="1"/>
      <c r="N69" s="1"/>
      <c r="O69" s="1"/>
      <c r="P69" s="1"/>
      <c r="Q69" s="1"/>
      <c r="R69" s="1"/>
      <c r="S69" s="1"/>
      <c r="T69" s="1"/>
      <c r="U69" s="1"/>
      <c r="V69" s="1"/>
      <c r="W69" s="1"/>
      <c r="X69" s="1"/>
      <c r="Y69" s="1"/>
      <c r="Z69" s="1"/>
    </row>
    <row r="70" spans="1:26" ht="15.75" customHeight="1">
      <c r="A70" s="1"/>
      <c r="B70" s="1"/>
      <c r="C70" s="1"/>
      <c r="D70" s="1" t="s">
        <v>172</v>
      </c>
      <c r="E70" s="157">
        <f>Input!E56</f>
        <v>0.6</v>
      </c>
      <c r="F70" s="1"/>
      <c r="G70" s="1" t="s">
        <v>174</v>
      </c>
      <c r="H70" s="1"/>
      <c r="I70" s="39"/>
      <c r="J70" s="1"/>
      <c r="K70" s="1"/>
      <c r="L70" s="1"/>
      <c r="M70" s="1"/>
      <c r="N70" s="1"/>
      <c r="O70" s="1"/>
      <c r="P70" s="1"/>
      <c r="Q70" s="1"/>
      <c r="R70" s="1"/>
      <c r="S70" s="1"/>
      <c r="T70" s="1"/>
      <c r="U70" s="1"/>
      <c r="V70" s="1"/>
      <c r="W70" s="1"/>
      <c r="X70" s="1"/>
      <c r="Y70" s="1"/>
      <c r="Z70" s="1"/>
    </row>
    <row r="71" spans="1:26" ht="15.75" customHeight="1">
      <c r="A71" s="1"/>
      <c r="B71" s="1"/>
      <c r="C71" s="1"/>
      <c r="D71" s="1" t="s">
        <v>172</v>
      </c>
      <c r="E71" s="157">
        <f>Input!E57</f>
        <v>0.85</v>
      </c>
      <c r="F71" s="1"/>
      <c r="G71" s="1" t="s">
        <v>175</v>
      </c>
      <c r="H71" s="1"/>
      <c r="I71" s="39"/>
      <c r="J71" s="1"/>
      <c r="K71" s="1"/>
      <c r="L71" s="1"/>
      <c r="M71" s="1"/>
      <c r="N71" s="1"/>
      <c r="O71" s="1"/>
      <c r="P71" s="1"/>
      <c r="Q71" s="1"/>
      <c r="R71" s="1"/>
      <c r="S71" s="1"/>
      <c r="T71" s="1"/>
      <c r="U71" s="1"/>
      <c r="V71" s="1"/>
      <c r="W71" s="1"/>
      <c r="X71" s="1"/>
      <c r="Y71" s="1"/>
      <c r="Z71" s="1"/>
    </row>
    <row r="72" spans="1:26" ht="15.75" customHeight="1">
      <c r="A72" s="1"/>
      <c r="B72" s="1"/>
      <c r="C72" s="1"/>
      <c r="D72" s="1" t="s">
        <v>172</v>
      </c>
      <c r="E72" s="157">
        <f>Input!E58</f>
        <v>2.5</v>
      </c>
      <c r="F72" s="1"/>
      <c r="G72" s="1" t="s">
        <v>176</v>
      </c>
      <c r="H72" s="1"/>
      <c r="I72" s="39"/>
      <c r="J72" s="1"/>
      <c r="K72" s="1"/>
      <c r="L72" s="1"/>
      <c r="M72" s="1"/>
      <c r="N72" s="1"/>
      <c r="O72" s="1"/>
      <c r="P72" s="1"/>
      <c r="Q72" s="1"/>
      <c r="R72" s="1"/>
      <c r="S72" s="1"/>
      <c r="T72" s="1"/>
      <c r="U72" s="1"/>
      <c r="V72" s="1"/>
      <c r="W72" s="1"/>
      <c r="X72" s="1"/>
      <c r="Y72" s="1"/>
      <c r="Z72" s="1"/>
    </row>
    <row r="73" spans="1:26" ht="15.75" customHeight="1">
      <c r="A73" s="1"/>
      <c r="B73" s="1"/>
      <c r="C73" s="1"/>
      <c r="D73" s="41" t="s">
        <v>172</v>
      </c>
      <c r="E73" s="158">
        <f>Input!E59</f>
        <v>3.55</v>
      </c>
      <c r="F73" s="1"/>
      <c r="G73" s="41" t="s">
        <v>177</v>
      </c>
      <c r="H73" s="41"/>
      <c r="I73" s="39"/>
      <c r="J73" s="1"/>
      <c r="K73" s="1"/>
      <c r="L73" s="1"/>
      <c r="M73" s="1"/>
      <c r="N73" s="1"/>
      <c r="O73" s="1"/>
      <c r="P73" s="1"/>
      <c r="Q73" s="1"/>
      <c r="R73" s="1"/>
      <c r="S73" s="1"/>
      <c r="T73" s="1"/>
      <c r="U73" s="1"/>
      <c r="V73" s="1"/>
      <c r="W73" s="1"/>
      <c r="X73" s="1"/>
      <c r="Y73" s="1"/>
      <c r="Z73" s="1"/>
    </row>
    <row r="74" spans="1:26" ht="15.75" customHeight="1">
      <c r="A74" s="1"/>
      <c r="B74" s="1"/>
      <c r="C74" s="1"/>
      <c r="D74" s="1" t="s">
        <v>149</v>
      </c>
      <c r="E74" s="157">
        <f>SUM(E68:E73)</f>
        <v>10.5</v>
      </c>
      <c r="F74" s="1"/>
      <c r="G74" s="1" t="s">
        <v>178</v>
      </c>
      <c r="H74" s="1"/>
      <c r="I74" s="39"/>
      <c r="J74" s="1"/>
      <c r="K74" s="1"/>
      <c r="L74" s="1"/>
      <c r="M74" s="1"/>
      <c r="N74" s="1"/>
      <c r="O74" s="1"/>
      <c r="P74" s="1"/>
      <c r="Q74" s="1"/>
      <c r="R74" s="1"/>
      <c r="S74" s="1"/>
      <c r="T74" s="1"/>
      <c r="U74" s="1"/>
      <c r="V74" s="1"/>
      <c r="W74" s="1"/>
      <c r="X74" s="1"/>
      <c r="Y74" s="1"/>
      <c r="Z74" s="1"/>
    </row>
    <row r="75" spans="1:26" ht="15.75" customHeight="1">
      <c r="A75" s="1"/>
      <c r="B75" s="1"/>
      <c r="C75" s="1"/>
      <c r="D75" s="1"/>
      <c r="E75" s="157"/>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t="s">
        <v>179</v>
      </c>
      <c r="D76" s="1"/>
      <c r="E76" s="157"/>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57">
        <f>Input!E64</f>
        <v>80</v>
      </c>
      <c r="F77" s="1"/>
      <c r="G77" s="1" t="s">
        <v>180</v>
      </c>
      <c r="H77" s="1"/>
      <c r="I77" s="39"/>
      <c r="J77" s="1"/>
      <c r="K77" s="1"/>
      <c r="L77" s="1"/>
      <c r="M77" s="1"/>
      <c r="N77" s="1"/>
      <c r="O77" s="1"/>
      <c r="P77" s="1"/>
      <c r="Q77" s="1"/>
      <c r="R77" s="1"/>
      <c r="S77" s="1"/>
      <c r="T77" s="1"/>
      <c r="U77" s="1"/>
      <c r="V77" s="1"/>
      <c r="W77" s="1"/>
      <c r="X77" s="1"/>
      <c r="Y77" s="1"/>
      <c r="Z77" s="1"/>
    </row>
    <row r="78" spans="1:26" ht="15.75" customHeight="1">
      <c r="A78" s="1"/>
      <c r="B78" s="1"/>
      <c r="C78" s="1"/>
      <c r="D78" s="1" t="s">
        <v>144</v>
      </c>
      <c r="E78" s="157">
        <f>Input!E63</f>
        <v>3</v>
      </c>
      <c r="F78" s="1"/>
      <c r="G78" s="1" t="s">
        <v>69</v>
      </c>
      <c r="H78" s="1"/>
      <c r="I78" s="39"/>
      <c r="J78" s="1"/>
      <c r="K78" s="1"/>
      <c r="L78" s="1"/>
      <c r="M78" s="1"/>
      <c r="N78" s="1"/>
      <c r="O78" s="1"/>
      <c r="P78" s="1"/>
      <c r="Q78" s="1"/>
      <c r="R78" s="1"/>
      <c r="S78" s="1"/>
      <c r="T78" s="1"/>
      <c r="U78" s="1"/>
      <c r="V78" s="1"/>
      <c r="W78" s="1"/>
      <c r="X78" s="1"/>
      <c r="Y78" s="1"/>
      <c r="Z78" s="1"/>
    </row>
    <row r="79" spans="1:26" ht="15.75" customHeight="1">
      <c r="A79" s="1"/>
      <c r="B79" s="1"/>
      <c r="C79" s="1"/>
      <c r="D79" s="41" t="s">
        <v>146</v>
      </c>
      <c r="E79" s="158">
        <f>Input!D13</f>
        <v>1000</v>
      </c>
      <c r="F79" s="1"/>
      <c r="G79" s="41" t="s">
        <v>181</v>
      </c>
      <c r="H79" s="41"/>
      <c r="I79" s="39"/>
      <c r="J79" s="1"/>
      <c r="K79" s="1"/>
      <c r="L79" s="1"/>
      <c r="M79" s="1"/>
      <c r="N79" s="1"/>
      <c r="O79" s="1"/>
      <c r="P79" s="1"/>
      <c r="Q79" s="1"/>
      <c r="R79" s="1"/>
      <c r="S79" s="1"/>
      <c r="T79" s="1"/>
      <c r="U79" s="1"/>
      <c r="V79" s="1"/>
      <c r="W79" s="1"/>
      <c r="X79" s="1"/>
      <c r="Y79" s="1"/>
      <c r="Z79" s="1"/>
    </row>
    <row r="80" spans="1:26" ht="15.75" customHeight="1">
      <c r="A80" s="1"/>
      <c r="B80" s="1"/>
      <c r="C80" s="1"/>
      <c r="D80" s="1" t="s">
        <v>149</v>
      </c>
      <c r="E80" s="157">
        <f>ROUND(E77*E78/E79,4)</f>
        <v>0.24</v>
      </c>
      <c r="F80" s="1"/>
      <c r="G80" s="1" t="s">
        <v>178</v>
      </c>
      <c r="H80" s="1"/>
      <c r="I80" s="39"/>
      <c r="J80" s="1"/>
      <c r="K80" s="1"/>
      <c r="L80" s="1"/>
      <c r="M80" s="1"/>
      <c r="N80" s="1"/>
      <c r="O80" s="1"/>
      <c r="P80" s="1"/>
      <c r="Q80" s="1"/>
      <c r="R80" s="1"/>
      <c r="S80" s="1"/>
      <c r="T80" s="1"/>
      <c r="U80" s="1"/>
      <c r="V80" s="1"/>
      <c r="W80" s="1"/>
      <c r="X80" s="1"/>
      <c r="Y80" s="1"/>
      <c r="Z80" s="1"/>
    </row>
    <row r="81" spans="1:26" ht="15.75" customHeight="1">
      <c r="A81" s="1"/>
      <c r="B81" s="1"/>
      <c r="C81" s="1"/>
      <c r="D81" s="1"/>
      <c r="E81" s="157"/>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t="s">
        <v>182</v>
      </c>
      <c r="D82" s="1"/>
      <c r="E82" s="157"/>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57">
        <f>Input!E67</f>
        <v>0.5</v>
      </c>
      <c r="F83" s="1"/>
      <c r="G83" s="1" t="s">
        <v>183</v>
      </c>
      <c r="H83" s="1"/>
      <c r="I83" s="39"/>
      <c r="J83" s="1"/>
      <c r="K83" s="1"/>
      <c r="L83" s="1"/>
      <c r="M83" s="1"/>
      <c r="N83" s="1"/>
      <c r="O83" s="1"/>
      <c r="P83" s="1"/>
      <c r="Q83" s="1"/>
      <c r="R83" s="1"/>
      <c r="S83" s="1"/>
      <c r="T83" s="1"/>
      <c r="U83" s="1"/>
      <c r="V83" s="1"/>
      <c r="W83" s="1"/>
      <c r="X83" s="1"/>
      <c r="Y83" s="1"/>
      <c r="Z83" s="1"/>
    </row>
    <row r="84" spans="1:26" ht="15.75" customHeight="1">
      <c r="A84" s="1"/>
      <c r="B84" s="1"/>
      <c r="C84" s="1"/>
      <c r="D84" s="1" t="s">
        <v>144</v>
      </c>
      <c r="E84" s="157">
        <f>Input!E66</f>
        <v>60</v>
      </c>
      <c r="F84" s="1"/>
      <c r="G84" s="1" t="s">
        <v>184</v>
      </c>
      <c r="H84" s="1"/>
      <c r="I84" s="39"/>
      <c r="J84" s="1"/>
      <c r="K84" s="1"/>
      <c r="L84" s="1"/>
      <c r="M84" s="1"/>
      <c r="N84" s="1"/>
      <c r="O84" s="1"/>
      <c r="P84" s="1"/>
      <c r="Q84" s="1"/>
      <c r="R84" s="1"/>
      <c r="S84" s="1"/>
      <c r="T84" s="1"/>
      <c r="U84" s="1"/>
      <c r="V84" s="1"/>
      <c r="W84" s="1"/>
      <c r="X84" s="1"/>
      <c r="Y84" s="1"/>
      <c r="Z84" s="1"/>
    </row>
    <row r="85" spans="1:26" ht="15.75" customHeight="1">
      <c r="A85" s="1"/>
      <c r="B85" s="1"/>
      <c r="C85" s="1"/>
      <c r="D85" s="1" t="s">
        <v>144</v>
      </c>
      <c r="E85" s="157">
        <f>Input!E68</f>
        <v>3</v>
      </c>
      <c r="F85" s="1"/>
      <c r="G85" s="1" t="s">
        <v>185</v>
      </c>
      <c r="H85" s="1"/>
      <c r="I85" s="39"/>
      <c r="J85" s="1"/>
      <c r="K85" s="1"/>
      <c r="L85" s="1"/>
      <c r="M85" s="1"/>
      <c r="N85" s="1"/>
      <c r="O85" s="1"/>
      <c r="P85" s="1"/>
      <c r="Q85" s="1"/>
      <c r="R85" s="1"/>
      <c r="S85" s="1"/>
      <c r="T85" s="1"/>
      <c r="U85" s="1"/>
      <c r="V85" s="1"/>
      <c r="W85" s="1"/>
      <c r="X85" s="1"/>
      <c r="Y85" s="1"/>
      <c r="Z85" s="1"/>
    </row>
    <row r="86" spans="1:26" ht="15.75" customHeight="1">
      <c r="A86" s="1"/>
      <c r="B86" s="1"/>
      <c r="C86" s="1"/>
      <c r="D86" s="41" t="s">
        <v>146</v>
      </c>
      <c r="E86" s="158">
        <f>Input!D13</f>
        <v>1000</v>
      </c>
      <c r="F86" s="1"/>
      <c r="G86" s="41" t="s">
        <v>181</v>
      </c>
      <c r="H86" s="41"/>
      <c r="I86" s="39"/>
      <c r="J86" s="1"/>
      <c r="K86" s="1"/>
      <c r="L86" s="1"/>
      <c r="M86" s="1"/>
      <c r="N86" s="1"/>
      <c r="O86" s="1"/>
      <c r="P86" s="1"/>
      <c r="Q86" s="1"/>
      <c r="R86" s="1"/>
      <c r="S86" s="1"/>
      <c r="T86" s="1"/>
      <c r="U86" s="1"/>
      <c r="V86" s="1"/>
      <c r="W86" s="1"/>
      <c r="X86" s="1"/>
      <c r="Y86" s="1"/>
      <c r="Z86" s="1"/>
    </row>
    <row r="87" spans="1:26" ht="15.75" customHeight="1">
      <c r="A87" s="1"/>
      <c r="B87" s="1"/>
      <c r="C87" s="1"/>
      <c r="D87" s="1" t="s">
        <v>149</v>
      </c>
      <c r="E87" s="157">
        <f>ROUND(E83*E84*E85/E86,4)</f>
        <v>0.09</v>
      </c>
      <c r="F87" s="1"/>
      <c r="G87" s="1" t="s">
        <v>178</v>
      </c>
      <c r="H87" s="1"/>
      <c r="I87" s="39"/>
      <c r="J87" s="1"/>
      <c r="K87" s="1"/>
      <c r="L87" s="1"/>
      <c r="M87" s="1"/>
      <c r="N87" s="1"/>
      <c r="O87" s="1"/>
      <c r="P87" s="1"/>
      <c r="Q87" s="1"/>
      <c r="R87" s="1"/>
      <c r="S87" s="1"/>
      <c r="T87" s="1"/>
      <c r="U87" s="1"/>
      <c r="V87" s="1"/>
      <c r="W87" s="1"/>
      <c r="X87" s="1"/>
      <c r="Y87" s="1"/>
      <c r="Z87" s="1"/>
    </row>
    <row r="88" spans="1:26" ht="15.75" customHeight="1">
      <c r="A88" s="1"/>
      <c r="B88" s="1"/>
      <c r="C88" s="1"/>
      <c r="D88" s="1"/>
      <c r="E88" s="157"/>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2" t="s">
        <v>6</v>
      </c>
      <c r="D89" s="2" t="s">
        <v>149</v>
      </c>
      <c r="E89" s="159">
        <f>ROUND(E87+E80+E74,4)</f>
        <v>10.83</v>
      </c>
      <c r="F89" s="1"/>
      <c r="G89" s="2" t="s">
        <v>150</v>
      </c>
      <c r="H89" s="2"/>
      <c r="I89" s="39"/>
      <c r="J89" s="1"/>
      <c r="K89" s="1"/>
      <c r="L89" s="1"/>
      <c r="M89" s="1"/>
      <c r="N89" s="1"/>
      <c r="O89" s="1"/>
      <c r="P89" s="1"/>
      <c r="Q89" s="1"/>
      <c r="R89" s="1"/>
      <c r="S89" s="1"/>
      <c r="T89" s="1"/>
      <c r="U89" s="1"/>
      <c r="V89" s="1"/>
      <c r="W89" s="1"/>
      <c r="X89" s="1"/>
      <c r="Y89" s="1"/>
      <c r="Z89" s="1"/>
    </row>
    <row r="90" spans="1:26" ht="15.75" customHeight="1">
      <c r="A90" s="1"/>
      <c r="B90" s="1"/>
      <c r="C90" s="1"/>
      <c r="D90" s="1"/>
      <c r="E90" s="157"/>
      <c r="F90" s="1"/>
      <c r="G90" s="1"/>
      <c r="H90" s="1"/>
      <c r="I90" s="1"/>
      <c r="J90" s="1"/>
      <c r="K90" s="1"/>
      <c r="L90" s="1"/>
      <c r="M90" s="1"/>
      <c r="N90" s="1"/>
      <c r="O90" s="1"/>
      <c r="P90" s="1"/>
      <c r="Q90" s="1"/>
      <c r="R90" s="1"/>
      <c r="S90" s="1"/>
      <c r="T90" s="1"/>
      <c r="U90" s="1"/>
      <c r="V90" s="1"/>
      <c r="W90" s="1"/>
      <c r="X90" s="1"/>
      <c r="Y90" s="1"/>
      <c r="Z90" s="1"/>
    </row>
    <row r="91" spans="1:26" ht="15.75" customHeight="1">
      <c r="A91" s="1"/>
      <c r="B91" s="2" t="s">
        <v>186</v>
      </c>
      <c r="C91" s="1"/>
      <c r="D91" s="1"/>
      <c r="E91" s="157"/>
      <c r="F91" s="1"/>
      <c r="G91" s="1"/>
      <c r="H91" s="1"/>
      <c r="I91" s="1"/>
      <c r="J91" s="1"/>
      <c r="K91" s="165"/>
      <c r="L91" s="1"/>
      <c r="M91" s="1"/>
      <c r="N91" s="1"/>
      <c r="O91" s="1"/>
      <c r="P91" s="1"/>
      <c r="Q91" s="1"/>
      <c r="R91" s="1"/>
      <c r="S91" s="1"/>
      <c r="T91" s="1"/>
      <c r="U91" s="1"/>
      <c r="V91" s="1"/>
      <c r="W91" s="1"/>
      <c r="X91" s="1"/>
      <c r="Y91" s="1"/>
      <c r="Z91" s="1"/>
    </row>
    <row r="92" spans="1:26" ht="15.75" customHeight="1">
      <c r="A92" s="1"/>
      <c r="B92" s="1"/>
      <c r="C92" s="1"/>
      <c r="D92" s="1"/>
      <c r="E92" s="157">
        <f>Input!E71</f>
        <v>1500</v>
      </c>
      <c r="F92" s="1"/>
      <c r="G92" s="5" t="s">
        <v>187</v>
      </c>
      <c r="H92" s="5"/>
      <c r="I92" s="39"/>
      <c r="J92" s="1"/>
      <c r="K92" s="1"/>
      <c r="L92" s="1"/>
      <c r="M92" s="1"/>
      <c r="N92" s="1"/>
      <c r="O92" s="1"/>
      <c r="P92" s="1"/>
      <c r="Q92" s="1"/>
      <c r="R92" s="1"/>
      <c r="S92" s="1"/>
      <c r="T92" s="1"/>
      <c r="U92" s="1"/>
      <c r="V92" s="1"/>
      <c r="W92" s="1"/>
      <c r="X92" s="1"/>
      <c r="Y92" s="1"/>
      <c r="Z92" s="1"/>
    </row>
    <row r="93" spans="1:26" ht="15.75" customHeight="1">
      <c r="A93" s="1"/>
      <c r="B93" s="1"/>
      <c r="C93" s="1"/>
      <c r="D93" s="1" t="s">
        <v>172</v>
      </c>
      <c r="E93" s="157">
        <f>Input!E72</f>
        <v>2000</v>
      </c>
      <c r="F93" s="1"/>
      <c r="G93" s="5" t="s">
        <v>188</v>
      </c>
      <c r="H93" s="5"/>
      <c r="I93" s="39"/>
      <c r="J93" s="1"/>
      <c r="K93" s="1"/>
      <c r="L93" s="1"/>
      <c r="M93" s="1"/>
      <c r="N93" s="1"/>
      <c r="O93" s="1"/>
      <c r="P93" s="1"/>
      <c r="Q93" s="1"/>
      <c r="R93" s="1"/>
      <c r="S93" s="1"/>
      <c r="T93" s="1"/>
      <c r="U93" s="1"/>
      <c r="V93" s="1"/>
      <c r="W93" s="1"/>
      <c r="X93" s="1"/>
      <c r="Y93" s="1"/>
      <c r="Z93" s="1"/>
    </row>
    <row r="94" spans="1:26" ht="15.75" customHeight="1">
      <c r="A94" s="1"/>
      <c r="B94" s="1"/>
      <c r="C94" s="1"/>
      <c r="D94" s="41" t="s">
        <v>146</v>
      </c>
      <c r="E94" s="158">
        <f>Input!D13</f>
        <v>1000</v>
      </c>
      <c r="F94" s="1"/>
      <c r="G94" s="43" t="s">
        <v>181</v>
      </c>
      <c r="H94" s="43"/>
      <c r="I94" s="39"/>
      <c r="J94" s="1"/>
      <c r="K94" s="1"/>
      <c r="L94" s="1"/>
      <c r="M94" s="1"/>
      <c r="N94" s="1"/>
      <c r="O94" s="1"/>
      <c r="P94" s="1"/>
      <c r="Q94" s="1"/>
      <c r="R94" s="1"/>
      <c r="S94" s="1"/>
      <c r="T94" s="1"/>
      <c r="U94" s="1"/>
      <c r="V94" s="1"/>
      <c r="W94" s="1"/>
      <c r="X94" s="1"/>
      <c r="Y94" s="1"/>
      <c r="Z94" s="1"/>
    </row>
    <row r="95" spans="1:26" ht="15.75" customHeight="1">
      <c r="A95" s="1"/>
      <c r="B95" s="1"/>
      <c r="C95" s="1"/>
      <c r="D95" s="2" t="s">
        <v>149</v>
      </c>
      <c r="E95" s="159">
        <f>ROUND(SUM(E92+E93)/E94,4)</f>
        <v>3.5</v>
      </c>
      <c r="F95" s="2"/>
      <c r="G95" s="45" t="s">
        <v>150</v>
      </c>
      <c r="H95" s="45"/>
      <c r="I95" s="39"/>
      <c r="J95" s="1"/>
      <c r="K95" s="1"/>
      <c r="L95" s="1"/>
      <c r="M95" s="1"/>
      <c r="N95" s="1"/>
      <c r="O95" s="1"/>
      <c r="P95" s="1"/>
      <c r="Q95" s="1"/>
      <c r="R95" s="1"/>
      <c r="S95" s="1"/>
      <c r="T95" s="1"/>
      <c r="U95" s="1"/>
      <c r="V95" s="1"/>
      <c r="W95" s="1"/>
      <c r="X95" s="1"/>
      <c r="Y95" s="1"/>
      <c r="Z95" s="1"/>
    </row>
    <row r="96" spans="1:26" ht="15.75" customHeight="1">
      <c r="A96" s="1"/>
      <c r="B96" s="1"/>
      <c r="C96" s="1"/>
      <c r="D96" s="1"/>
      <c r="E96" s="157"/>
      <c r="F96" s="1"/>
      <c r="G96" s="1"/>
      <c r="H96" s="1"/>
      <c r="I96" s="1"/>
      <c r="J96" s="1"/>
      <c r="K96" s="1"/>
      <c r="L96" s="1"/>
      <c r="M96" s="1"/>
      <c r="N96" s="1"/>
      <c r="O96" s="1"/>
      <c r="P96" s="1"/>
      <c r="Q96" s="1"/>
      <c r="R96" s="1"/>
      <c r="S96" s="1"/>
      <c r="T96" s="1"/>
      <c r="U96" s="1"/>
      <c r="V96" s="1"/>
      <c r="W96" s="1"/>
      <c r="X96" s="1"/>
      <c r="Y96" s="1"/>
      <c r="Z96" s="1"/>
    </row>
    <row r="97" spans="1:26" ht="15.75" customHeight="1">
      <c r="A97" s="1"/>
      <c r="B97" s="2" t="s">
        <v>189</v>
      </c>
      <c r="C97" s="1"/>
      <c r="D97" s="1"/>
      <c r="E97" s="157"/>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57">
        <f>Input!E75</f>
        <v>2500</v>
      </c>
      <c r="F98" s="1"/>
      <c r="G98" s="1" t="s">
        <v>190</v>
      </c>
      <c r="H98" s="1"/>
      <c r="I98" s="39"/>
      <c r="J98" s="1"/>
      <c r="K98" s="1"/>
      <c r="L98" s="1"/>
      <c r="M98" s="1"/>
      <c r="N98" s="1"/>
      <c r="O98" s="1"/>
      <c r="P98" s="1"/>
      <c r="Q98" s="1"/>
      <c r="R98" s="1"/>
      <c r="S98" s="1"/>
      <c r="T98" s="1"/>
      <c r="U98" s="1"/>
      <c r="V98" s="1"/>
      <c r="W98" s="1"/>
      <c r="X98" s="1"/>
      <c r="Y98" s="1"/>
      <c r="Z98" s="1"/>
    </row>
    <row r="99" spans="1:26" ht="15.75" customHeight="1">
      <c r="A99" s="1"/>
      <c r="B99" s="1"/>
      <c r="C99" s="1"/>
      <c r="D99" s="41" t="s">
        <v>146</v>
      </c>
      <c r="E99" s="158">
        <f>Input!D13</f>
        <v>1000</v>
      </c>
      <c r="F99" s="1"/>
      <c r="G99" s="41" t="s">
        <v>181</v>
      </c>
      <c r="H99" s="41"/>
      <c r="I99" s="39"/>
      <c r="J99" s="1"/>
      <c r="K99" s="1"/>
      <c r="L99" s="1"/>
      <c r="M99" s="1"/>
      <c r="N99" s="1"/>
      <c r="O99" s="1"/>
      <c r="P99" s="1"/>
      <c r="Q99" s="1"/>
      <c r="R99" s="1"/>
      <c r="S99" s="1"/>
      <c r="T99" s="1"/>
      <c r="U99" s="1"/>
      <c r="V99" s="1"/>
      <c r="W99" s="1"/>
      <c r="X99" s="1"/>
      <c r="Y99" s="1"/>
      <c r="Z99" s="1"/>
    </row>
    <row r="100" spans="1:26" ht="15.75" customHeight="1">
      <c r="A100" s="1"/>
      <c r="B100" s="1"/>
      <c r="C100" s="1"/>
      <c r="D100" s="2" t="s">
        <v>149</v>
      </c>
      <c r="E100" s="159">
        <f>ROUND((E98)/E99,4)</f>
        <v>2.5</v>
      </c>
      <c r="F100" s="2"/>
      <c r="G100" s="2" t="s">
        <v>150</v>
      </c>
      <c r="H100" s="2"/>
      <c r="I100" s="39"/>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57"/>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2" t="s">
        <v>191</v>
      </c>
      <c r="C102" s="1"/>
      <c r="D102" s="1"/>
      <c r="E102" s="157"/>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2"/>
      <c r="C103" s="1"/>
      <c r="D103" s="1"/>
      <c r="E103" s="157">
        <f>Input!E85</f>
        <v>2</v>
      </c>
      <c r="F103" s="1"/>
      <c r="G103" s="5" t="s">
        <v>192</v>
      </c>
      <c r="H103" s="1"/>
      <c r="I103" s="39"/>
      <c r="J103" s="1"/>
      <c r="K103" s="1"/>
      <c r="L103" s="1"/>
      <c r="M103" s="1"/>
      <c r="N103" s="1"/>
      <c r="O103" s="1"/>
      <c r="P103" s="1"/>
      <c r="Q103" s="1"/>
      <c r="R103" s="1"/>
      <c r="S103" s="1"/>
      <c r="T103" s="1"/>
      <c r="U103" s="1"/>
      <c r="V103" s="1"/>
      <c r="W103" s="1"/>
      <c r="X103" s="1"/>
      <c r="Y103" s="1"/>
      <c r="Z103" s="1"/>
    </row>
    <row r="104" spans="1:26" ht="15.75" customHeight="1">
      <c r="A104" s="5"/>
      <c r="B104" s="5"/>
      <c r="C104" s="5"/>
      <c r="D104" s="40" t="s">
        <v>172</v>
      </c>
      <c r="E104" s="157">
        <f>Input!D19*(Input!D17/100)</f>
        <v>38.25</v>
      </c>
      <c r="F104" s="5"/>
      <c r="G104" s="5" t="s">
        <v>193</v>
      </c>
      <c r="H104" s="5"/>
      <c r="I104" s="50"/>
      <c r="J104" s="5"/>
      <c r="K104" s="5"/>
      <c r="L104" s="5"/>
      <c r="M104" s="5"/>
      <c r="N104" s="5"/>
      <c r="O104" s="5"/>
      <c r="P104" s="5"/>
      <c r="Q104" s="5"/>
      <c r="R104" s="5"/>
      <c r="S104" s="5"/>
      <c r="T104" s="5"/>
      <c r="U104" s="5"/>
      <c r="V104" s="5"/>
      <c r="W104" s="5"/>
      <c r="X104" s="5"/>
      <c r="Y104" s="5"/>
      <c r="Z104" s="5"/>
    </row>
    <row r="105" spans="1:26" ht="15.75" customHeight="1">
      <c r="A105" s="5"/>
      <c r="B105" s="5"/>
      <c r="C105" s="5"/>
      <c r="D105" s="43" t="s">
        <v>172</v>
      </c>
      <c r="E105" s="158">
        <f>Input!E83</f>
        <v>0</v>
      </c>
      <c r="F105" s="51"/>
      <c r="G105" s="51" t="s">
        <v>194</v>
      </c>
      <c r="H105" s="5"/>
      <c r="I105" s="50"/>
      <c r="J105" s="5"/>
      <c r="K105" s="5"/>
      <c r="L105" s="5"/>
      <c r="M105" s="5"/>
      <c r="N105" s="5"/>
      <c r="O105" s="5"/>
      <c r="P105" s="5"/>
      <c r="Q105" s="5"/>
      <c r="R105" s="5"/>
      <c r="S105" s="5"/>
      <c r="T105" s="5"/>
      <c r="U105" s="5"/>
      <c r="V105" s="5"/>
      <c r="W105" s="5"/>
      <c r="X105" s="5"/>
      <c r="Y105" s="5"/>
      <c r="Z105" s="5"/>
    </row>
    <row r="106" spans="1:26" ht="15.75" customHeight="1">
      <c r="A106" s="5"/>
      <c r="B106" s="5"/>
      <c r="C106" s="5"/>
      <c r="D106" s="5" t="s">
        <v>149</v>
      </c>
      <c r="E106" s="157">
        <f>SUM(E105+E103+E104)</f>
        <v>40.25</v>
      </c>
      <c r="F106" s="5"/>
      <c r="G106" s="5" t="s">
        <v>150</v>
      </c>
      <c r="H106" s="5"/>
      <c r="I106" s="50"/>
      <c r="J106" s="5"/>
      <c r="K106" s="5"/>
      <c r="L106" s="5"/>
      <c r="M106" s="5"/>
      <c r="N106" s="5"/>
      <c r="O106" s="5"/>
      <c r="P106" s="5"/>
      <c r="Q106" s="5"/>
      <c r="R106" s="5"/>
      <c r="S106" s="5"/>
      <c r="T106" s="5"/>
      <c r="U106" s="5"/>
      <c r="V106" s="5"/>
      <c r="W106" s="5"/>
      <c r="X106" s="5"/>
      <c r="Y106" s="5"/>
      <c r="Z106" s="5"/>
    </row>
    <row r="107" spans="1:26" ht="15.75" customHeight="1">
      <c r="A107" s="1"/>
      <c r="B107" s="2"/>
      <c r="C107" s="1"/>
      <c r="D107" s="1"/>
      <c r="E107" s="157"/>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t="s">
        <v>195</v>
      </c>
      <c r="D108" s="1"/>
      <c r="E108" s="157">
        <f>Input!E79</f>
        <v>70</v>
      </c>
      <c r="F108" s="1"/>
      <c r="G108" s="1" t="s">
        <v>86</v>
      </c>
      <c r="H108" s="1"/>
      <c r="I108" s="39"/>
      <c r="J108" s="1"/>
      <c r="K108" s="1"/>
      <c r="L108" s="1"/>
      <c r="M108" s="1"/>
      <c r="N108" s="1"/>
      <c r="O108" s="1"/>
      <c r="P108" s="1"/>
      <c r="Q108" s="1"/>
      <c r="R108" s="1"/>
      <c r="S108" s="1"/>
      <c r="T108" s="1"/>
      <c r="U108" s="1"/>
      <c r="V108" s="1"/>
      <c r="W108" s="1"/>
      <c r="X108" s="1"/>
      <c r="Y108" s="1"/>
      <c r="Z108" s="1"/>
    </row>
    <row r="109" spans="1:26" ht="15.75" customHeight="1">
      <c r="A109" s="1"/>
      <c r="B109" s="1"/>
      <c r="C109" s="1"/>
      <c r="D109" s="1" t="s">
        <v>144</v>
      </c>
      <c r="E109" s="157">
        <f>Input!E80</f>
        <v>3</v>
      </c>
      <c r="F109" s="1"/>
      <c r="G109" s="5" t="s">
        <v>88</v>
      </c>
      <c r="H109" s="5"/>
      <c r="I109" s="39"/>
      <c r="J109" s="1"/>
      <c r="K109" s="1"/>
      <c r="L109" s="1"/>
      <c r="M109" s="1"/>
      <c r="N109" s="1"/>
      <c r="O109" s="1"/>
      <c r="P109" s="1"/>
      <c r="Q109" s="1"/>
      <c r="R109" s="1"/>
      <c r="S109" s="1"/>
      <c r="T109" s="1"/>
      <c r="U109" s="1"/>
      <c r="V109" s="1"/>
      <c r="W109" s="1"/>
      <c r="X109" s="1"/>
      <c r="Y109" s="1"/>
      <c r="Z109" s="1"/>
    </row>
    <row r="110" spans="1:26" ht="15.75" customHeight="1">
      <c r="A110" s="1"/>
      <c r="B110" s="1"/>
      <c r="C110" s="1"/>
      <c r="D110" s="41" t="s">
        <v>146</v>
      </c>
      <c r="E110" s="158">
        <f>ROUND(Input!E82,0)</f>
        <v>66</v>
      </c>
      <c r="F110" s="1"/>
      <c r="G110" s="43" t="s">
        <v>196</v>
      </c>
      <c r="H110" s="43"/>
      <c r="I110" s="39"/>
      <c r="J110" s="1"/>
      <c r="K110" s="1"/>
      <c r="L110" s="1"/>
      <c r="M110" s="1"/>
      <c r="N110" s="1"/>
      <c r="O110" s="1"/>
      <c r="P110" s="1"/>
      <c r="Q110" s="1"/>
      <c r="R110" s="1"/>
      <c r="S110" s="1"/>
      <c r="T110" s="1"/>
      <c r="U110" s="1"/>
      <c r="V110" s="1"/>
      <c r="W110" s="1"/>
      <c r="X110" s="1"/>
      <c r="Y110" s="1"/>
      <c r="Z110" s="1"/>
    </row>
    <row r="111" spans="1:26" ht="15.75" customHeight="1">
      <c r="A111" s="1"/>
      <c r="B111" s="1"/>
      <c r="C111" s="1"/>
      <c r="D111" s="1" t="s">
        <v>149</v>
      </c>
      <c r="E111" s="157">
        <f>ROUND(E108*E109/E110,4)</f>
        <v>3.1818</v>
      </c>
      <c r="F111" s="1"/>
      <c r="G111" s="5" t="s">
        <v>150</v>
      </c>
      <c r="H111" s="3"/>
      <c r="I111" s="47"/>
      <c r="J111" s="1"/>
      <c r="K111" s="1"/>
      <c r="L111" s="1"/>
      <c r="M111" s="1"/>
      <c r="N111" s="1"/>
      <c r="O111" s="1"/>
      <c r="P111" s="1"/>
      <c r="Q111" s="1"/>
      <c r="R111" s="1"/>
      <c r="S111" s="1"/>
      <c r="T111" s="1"/>
      <c r="U111" s="1"/>
      <c r="V111" s="1"/>
      <c r="W111" s="1"/>
      <c r="X111" s="1"/>
      <c r="Y111" s="1"/>
      <c r="Z111" s="1"/>
    </row>
    <row r="112" spans="1:26" ht="15.75" customHeight="1">
      <c r="A112" s="1"/>
      <c r="B112" s="1"/>
      <c r="C112" s="1"/>
      <c r="D112" s="2"/>
      <c r="E112" s="159"/>
      <c r="F112" s="2"/>
      <c r="G112" s="3"/>
      <c r="H112" s="3"/>
      <c r="I112" s="2"/>
      <c r="J112" s="1"/>
      <c r="K112" s="1"/>
      <c r="L112" s="1"/>
      <c r="M112" s="1"/>
      <c r="N112" s="1"/>
      <c r="O112" s="1"/>
      <c r="P112" s="1"/>
      <c r="Q112" s="1"/>
      <c r="R112" s="1"/>
      <c r="S112" s="1"/>
      <c r="T112" s="1"/>
      <c r="U112" s="1"/>
      <c r="V112" s="1"/>
      <c r="W112" s="1"/>
      <c r="X112" s="1"/>
      <c r="Y112" s="1"/>
      <c r="Z112" s="1"/>
    </row>
    <row r="113" spans="1:26" ht="15.75" customHeight="1">
      <c r="A113" s="1"/>
      <c r="B113" s="1"/>
      <c r="C113" s="2" t="s">
        <v>6</v>
      </c>
      <c r="D113" s="2" t="s">
        <v>149</v>
      </c>
      <c r="E113" s="159">
        <f>+E106+E111</f>
        <v>43.431800000000003</v>
      </c>
      <c r="F113" s="2"/>
      <c r="G113" s="3" t="s">
        <v>150</v>
      </c>
      <c r="H113" s="3"/>
      <c r="I113" s="47"/>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57"/>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2" t="s">
        <v>197</v>
      </c>
      <c r="C115" s="1"/>
      <c r="D115" s="1"/>
      <c r="E115" s="157"/>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57">
        <f>Input!D123</f>
        <v>127600</v>
      </c>
      <c r="F116" s="1"/>
      <c r="G116" s="5" t="s">
        <v>198</v>
      </c>
      <c r="H116" s="5"/>
      <c r="I116" s="39"/>
      <c r="J116" s="1"/>
      <c r="K116" s="1"/>
      <c r="L116" s="1"/>
      <c r="M116" s="1"/>
      <c r="N116" s="1"/>
      <c r="O116" s="1"/>
      <c r="P116" s="1"/>
      <c r="Q116" s="1"/>
      <c r="R116" s="1"/>
      <c r="S116" s="1"/>
      <c r="T116" s="1"/>
      <c r="U116" s="1"/>
      <c r="V116" s="1"/>
      <c r="W116" s="1"/>
      <c r="X116" s="1"/>
      <c r="Y116" s="1"/>
      <c r="Z116" s="1"/>
    </row>
    <row r="117" spans="1:26" ht="15.75" customHeight="1">
      <c r="A117" s="1"/>
      <c r="B117" s="1"/>
      <c r="C117" s="1"/>
      <c r="D117" s="1" t="s">
        <v>144</v>
      </c>
      <c r="E117" s="157">
        <f>Input!E93</f>
        <v>0.4</v>
      </c>
      <c r="F117" s="1"/>
      <c r="G117" s="5" t="s">
        <v>199</v>
      </c>
      <c r="H117" s="5"/>
      <c r="I117" s="39"/>
      <c r="J117" s="1"/>
      <c r="K117" s="1"/>
      <c r="L117" s="1"/>
      <c r="M117" s="1"/>
      <c r="N117" s="1"/>
      <c r="O117" s="1"/>
      <c r="P117" s="1"/>
      <c r="Q117" s="1"/>
      <c r="R117" s="1"/>
      <c r="S117" s="1"/>
      <c r="T117" s="1"/>
      <c r="U117" s="1"/>
      <c r="V117" s="1"/>
      <c r="W117" s="1"/>
      <c r="X117" s="1"/>
      <c r="Y117" s="1"/>
      <c r="Z117" s="1"/>
    </row>
    <row r="118" spans="1:26" ht="15.75" customHeight="1">
      <c r="A118" s="1"/>
      <c r="B118" s="1"/>
      <c r="C118" s="1"/>
      <c r="D118" s="1" t="s">
        <v>146</v>
      </c>
      <c r="E118" s="157">
        <v>100</v>
      </c>
      <c r="F118" s="1"/>
      <c r="G118" s="1" t="s">
        <v>199</v>
      </c>
      <c r="H118" s="1"/>
      <c r="I118" s="39"/>
      <c r="J118" s="1"/>
      <c r="K118" s="1"/>
      <c r="L118" s="1"/>
      <c r="M118" s="1"/>
      <c r="N118" s="1"/>
      <c r="O118" s="1"/>
      <c r="P118" s="1"/>
      <c r="Q118" s="1"/>
      <c r="R118" s="1"/>
      <c r="S118" s="1"/>
      <c r="T118" s="1"/>
      <c r="U118" s="1"/>
      <c r="V118" s="1"/>
      <c r="W118" s="1"/>
      <c r="X118" s="1"/>
      <c r="Y118" s="1"/>
      <c r="Z118" s="1"/>
    </row>
    <row r="119" spans="1:26" ht="15.75" customHeight="1">
      <c r="A119" s="1"/>
      <c r="B119" s="1"/>
      <c r="C119" s="1"/>
      <c r="D119" s="41" t="s">
        <v>146</v>
      </c>
      <c r="E119" s="158">
        <f>Input!D13</f>
        <v>1000</v>
      </c>
      <c r="F119" s="1"/>
      <c r="G119" s="41" t="s">
        <v>181</v>
      </c>
      <c r="H119" s="41"/>
      <c r="I119" s="39"/>
      <c r="J119" s="1"/>
      <c r="K119" s="1"/>
      <c r="L119" s="1"/>
      <c r="M119" s="1"/>
      <c r="N119" s="1"/>
      <c r="O119" s="1"/>
      <c r="P119" s="1"/>
      <c r="Q119" s="1"/>
      <c r="R119" s="1"/>
      <c r="S119" s="1"/>
      <c r="T119" s="1"/>
      <c r="U119" s="1"/>
      <c r="V119" s="1"/>
      <c r="W119" s="1"/>
      <c r="X119" s="1"/>
      <c r="Y119" s="1"/>
      <c r="Z119" s="1"/>
    </row>
    <row r="120" spans="1:26" ht="15.75" customHeight="1">
      <c r="A120" s="1"/>
      <c r="B120" s="1"/>
      <c r="C120" s="1"/>
      <c r="D120" s="1" t="s">
        <v>149</v>
      </c>
      <c r="E120" s="157">
        <f>ROUND(E116*E117/E118/E119,4)</f>
        <v>0.51039999999999996</v>
      </c>
      <c r="F120" s="1"/>
      <c r="G120" s="1" t="s">
        <v>200</v>
      </c>
      <c r="H120" s="1"/>
      <c r="I120" s="39"/>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57"/>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57">
        <f>ROUND((((Input!D15*Input!D16/100)+(Input!D17*Input!D18/100))/2)*Input!D13,2)</f>
        <v>2089250</v>
      </c>
      <c r="F122" s="1"/>
      <c r="G122" s="1" t="s">
        <v>201</v>
      </c>
      <c r="H122" s="1"/>
      <c r="I122" s="39"/>
      <c r="J122" s="1"/>
      <c r="K122" s="1"/>
      <c r="L122" s="1"/>
      <c r="M122" s="1"/>
      <c r="N122" s="1"/>
      <c r="O122" s="1"/>
      <c r="P122" s="1"/>
      <c r="Q122" s="1"/>
      <c r="R122" s="1"/>
      <c r="S122" s="1"/>
      <c r="T122" s="1"/>
      <c r="U122" s="1"/>
      <c r="V122" s="1"/>
      <c r="W122" s="1"/>
      <c r="X122" s="1"/>
      <c r="Y122" s="1"/>
      <c r="Z122" s="1"/>
    </row>
    <row r="123" spans="1:26" ht="15.75" customHeight="1">
      <c r="A123" s="1"/>
      <c r="B123" s="1"/>
      <c r="C123" s="1"/>
      <c r="D123" s="1" t="s">
        <v>144</v>
      </c>
      <c r="E123" s="157">
        <f>Input!E92</f>
        <v>0</v>
      </c>
      <c r="F123" s="1"/>
      <c r="G123" s="5" t="s">
        <v>199</v>
      </c>
      <c r="H123" s="5"/>
      <c r="I123" s="39"/>
      <c r="J123" s="1"/>
      <c r="K123" s="1"/>
      <c r="L123" s="1"/>
      <c r="M123" s="1"/>
      <c r="N123" s="1"/>
      <c r="O123" s="1"/>
      <c r="P123" s="1"/>
      <c r="Q123" s="1"/>
      <c r="R123" s="1"/>
      <c r="S123" s="1"/>
      <c r="T123" s="1"/>
      <c r="U123" s="1"/>
      <c r="V123" s="1"/>
      <c r="W123" s="1"/>
      <c r="X123" s="1"/>
      <c r="Y123" s="1"/>
      <c r="Z123" s="1"/>
    </row>
    <row r="124" spans="1:26" ht="15.75" customHeight="1">
      <c r="A124" s="1"/>
      <c r="B124" s="1"/>
      <c r="C124" s="1"/>
      <c r="D124" s="1" t="s">
        <v>146</v>
      </c>
      <c r="E124" s="157">
        <v>100</v>
      </c>
      <c r="F124" s="1"/>
      <c r="G124" s="5" t="s">
        <v>202</v>
      </c>
      <c r="H124" s="5"/>
      <c r="I124" s="39"/>
      <c r="J124" s="1"/>
      <c r="K124" s="1"/>
      <c r="L124" s="1"/>
      <c r="M124" s="1"/>
      <c r="N124" s="1"/>
      <c r="O124" s="1"/>
      <c r="P124" s="1"/>
      <c r="Q124" s="1"/>
      <c r="R124" s="1"/>
      <c r="S124" s="1"/>
      <c r="T124" s="1"/>
      <c r="U124" s="1"/>
      <c r="V124" s="1"/>
      <c r="W124" s="1"/>
      <c r="X124" s="1"/>
      <c r="Y124" s="1"/>
      <c r="Z124" s="1"/>
    </row>
    <row r="125" spans="1:26" ht="15.75" customHeight="1">
      <c r="A125" s="1"/>
      <c r="B125" s="1"/>
      <c r="C125" s="1"/>
      <c r="D125" s="41" t="s">
        <v>146</v>
      </c>
      <c r="E125" s="158">
        <f>Input!D13</f>
        <v>1000</v>
      </c>
      <c r="F125" s="1"/>
      <c r="G125" s="41" t="s">
        <v>181</v>
      </c>
      <c r="H125" s="41"/>
      <c r="I125" s="39"/>
      <c r="J125" s="1"/>
      <c r="K125" s="1"/>
      <c r="L125" s="1"/>
      <c r="M125" s="1"/>
      <c r="N125" s="1"/>
      <c r="O125" s="1"/>
      <c r="P125" s="1"/>
      <c r="Q125" s="1"/>
      <c r="R125" s="1"/>
      <c r="S125" s="1"/>
      <c r="T125" s="1"/>
      <c r="U125" s="1"/>
      <c r="V125" s="1"/>
      <c r="W125" s="1"/>
      <c r="X125" s="1"/>
      <c r="Y125" s="1"/>
      <c r="Z125" s="1"/>
    </row>
    <row r="126" spans="1:26" ht="15.75" customHeight="1">
      <c r="A126" s="1"/>
      <c r="B126" s="1"/>
      <c r="C126" s="1"/>
      <c r="D126" s="1" t="s">
        <v>149</v>
      </c>
      <c r="E126" s="157">
        <f>ROUND(E122*E123/E124/E125,4)</f>
        <v>0</v>
      </c>
      <c r="F126" s="1"/>
      <c r="G126" s="1" t="s">
        <v>200</v>
      </c>
      <c r="H126" s="1"/>
      <c r="I126" s="39"/>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57"/>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57">
        <f>Input!E94</f>
        <v>49</v>
      </c>
      <c r="F128" s="1"/>
      <c r="G128" s="1" t="s">
        <v>203</v>
      </c>
      <c r="H128" s="1"/>
      <c r="I128" s="39"/>
      <c r="J128" s="1"/>
      <c r="K128" s="1"/>
      <c r="L128" s="1"/>
      <c r="M128" s="1"/>
      <c r="N128" s="1"/>
      <c r="O128" s="1"/>
      <c r="P128" s="1"/>
      <c r="Q128" s="1"/>
      <c r="R128" s="1"/>
      <c r="S128" s="1"/>
      <c r="T128" s="1"/>
      <c r="U128" s="1"/>
      <c r="V128" s="1"/>
      <c r="W128" s="1"/>
      <c r="X128" s="1"/>
      <c r="Y128" s="1"/>
      <c r="Z128" s="1"/>
    </row>
    <row r="129" spans="1:26" ht="15.75" customHeight="1">
      <c r="A129" s="1"/>
      <c r="B129" s="1"/>
      <c r="C129" s="1"/>
      <c r="D129" s="41" t="s">
        <v>146</v>
      </c>
      <c r="E129" s="158">
        <f>Input!D13</f>
        <v>1000</v>
      </c>
      <c r="F129" s="1"/>
      <c r="G129" s="41" t="s">
        <v>181</v>
      </c>
      <c r="H129" s="41"/>
      <c r="I129" s="39"/>
      <c r="J129" s="1"/>
      <c r="K129" s="1"/>
      <c r="L129" s="1"/>
      <c r="M129" s="1"/>
      <c r="N129" s="1"/>
      <c r="O129" s="1"/>
      <c r="P129" s="1"/>
      <c r="Q129" s="1"/>
      <c r="R129" s="1"/>
      <c r="S129" s="1"/>
      <c r="T129" s="1"/>
      <c r="U129" s="1"/>
      <c r="V129" s="1"/>
      <c r="W129" s="1"/>
      <c r="X129" s="1"/>
      <c r="Y129" s="1"/>
      <c r="Z129" s="1"/>
    </row>
    <row r="130" spans="1:26" ht="15.75" customHeight="1">
      <c r="A130" s="1"/>
      <c r="B130" s="1"/>
      <c r="C130" s="1"/>
      <c r="D130" s="1" t="s">
        <v>149</v>
      </c>
      <c r="E130" s="157">
        <f>ROUND(E128/E129,4)</f>
        <v>4.9000000000000002E-2</v>
      </c>
      <c r="F130" s="1"/>
      <c r="G130" s="1" t="s">
        <v>200</v>
      </c>
      <c r="H130" s="1"/>
      <c r="I130" s="39"/>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57"/>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2" t="s">
        <v>6</v>
      </c>
      <c r="D132" s="2" t="s">
        <v>149</v>
      </c>
      <c r="E132" s="159">
        <f>ROUND(E130+E126+E120,4)</f>
        <v>0.55940000000000001</v>
      </c>
      <c r="F132" s="1"/>
      <c r="G132" s="2" t="s">
        <v>150</v>
      </c>
      <c r="H132" s="2"/>
      <c r="I132" s="39"/>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57"/>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2" t="s">
        <v>204</v>
      </c>
      <c r="C134" s="1"/>
      <c r="D134" s="1"/>
      <c r="E134" s="157"/>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57">
        <f>Input!E88</f>
        <v>4000</v>
      </c>
      <c r="F135" s="1"/>
      <c r="G135" s="1" t="s">
        <v>205</v>
      </c>
      <c r="H135" s="1"/>
      <c r="I135" s="39"/>
      <c r="J135" s="1"/>
      <c r="K135" s="1"/>
      <c r="L135" s="1"/>
      <c r="M135" s="1"/>
      <c r="N135" s="1"/>
      <c r="O135" s="1"/>
      <c r="P135" s="1"/>
      <c r="Q135" s="1"/>
      <c r="R135" s="1"/>
      <c r="S135" s="1"/>
      <c r="T135" s="1"/>
      <c r="U135" s="1"/>
      <c r="V135" s="1"/>
      <c r="W135" s="1"/>
      <c r="X135" s="1"/>
      <c r="Y135" s="1"/>
      <c r="Z135" s="1"/>
    </row>
    <row r="136" spans="1:26" ht="15.75" customHeight="1">
      <c r="A136" s="1"/>
      <c r="B136" s="1"/>
      <c r="C136" s="1"/>
      <c r="D136" s="41" t="s">
        <v>146</v>
      </c>
      <c r="E136" s="158">
        <f>Input!D13</f>
        <v>1000</v>
      </c>
      <c r="F136" s="1"/>
      <c r="G136" s="41" t="s">
        <v>181</v>
      </c>
      <c r="H136" s="41"/>
      <c r="I136" s="39"/>
      <c r="J136" s="1"/>
      <c r="K136" s="1"/>
      <c r="L136" s="1"/>
      <c r="M136" s="1"/>
      <c r="N136" s="1"/>
      <c r="O136" s="1"/>
      <c r="P136" s="1"/>
      <c r="Q136" s="1"/>
      <c r="R136" s="1"/>
      <c r="S136" s="1"/>
      <c r="T136" s="1"/>
      <c r="U136" s="1"/>
      <c r="V136" s="1"/>
      <c r="W136" s="1"/>
      <c r="X136" s="1"/>
      <c r="Y136" s="1"/>
      <c r="Z136" s="1"/>
    </row>
    <row r="137" spans="1:26" ht="15.75" customHeight="1">
      <c r="A137" s="1"/>
      <c r="B137" s="1"/>
      <c r="C137" s="1"/>
      <c r="D137" s="2" t="s">
        <v>149</v>
      </c>
      <c r="E137" s="159">
        <f>ROUND(E135/E136,4)</f>
        <v>4</v>
      </c>
      <c r="F137" s="2"/>
      <c r="G137" s="2" t="s">
        <v>178</v>
      </c>
      <c r="H137" s="2"/>
      <c r="I137" s="47"/>
      <c r="J137" s="2"/>
      <c r="K137" s="1"/>
      <c r="L137" s="1"/>
      <c r="M137" s="1"/>
      <c r="N137" s="1"/>
      <c r="O137" s="1"/>
      <c r="P137" s="1"/>
      <c r="Q137" s="1"/>
      <c r="R137" s="1"/>
      <c r="S137" s="1"/>
      <c r="T137" s="1"/>
      <c r="U137" s="1"/>
      <c r="V137" s="1"/>
      <c r="W137" s="1"/>
      <c r="X137" s="1"/>
      <c r="Y137" s="1"/>
      <c r="Z137" s="1"/>
    </row>
    <row r="138" spans="1:26" ht="15.75" customHeight="1">
      <c r="A138" s="1"/>
      <c r="B138" s="1"/>
      <c r="C138" s="1"/>
      <c r="D138" s="1"/>
      <c r="E138" s="157"/>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2" t="s">
        <v>206</v>
      </c>
      <c r="C139" s="1"/>
      <c r="D139" s="1"/>
      <c r="E139" s="157"/>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57">
        <f>Input!E97</f>
        <v>600</v>
      </c>
      <c r="F140" s="1"/>
      <c r="G140" s="1" t="s">
        <v>207</v>
      </c>
      <c r="H140" s="1"/>
      <c r="I140" s="39"/>
      <c r="J140" s="1"/>
      <c r="K140" s="1"/>
      <c r="L140" s="1"/>
      <c r="M140" s="1"/>
      <c r="N140" s="1"/>
      <c r="O140" s="1"/>
      <c r="P140" s="1"/>
      <c r="Q140" s="1"/>
      <c r="R140" s="1"/>
      <c r="S140" s="1"/>
      <c r="T140" s="1"/>
      <c r="U140" s="1"/>
      <c r="V140" s="1"/>
      <c r="W140" s="1"/>
      <c r="X140" s="1"/>
      <c r="Y140" s="1"/>
      <c r="Z140" s="1"/>
    </row>
    <row r="141" spans="1:26" ht="15.75" customHeight="1">
      <c r="A141" s="1"/>
      <c r="B141" s="1"/>
      <c r="C141" s="1"/>
      <c r="D141" s="41" t="s">
        <v>146</v>
      </c>
      <c r="E141" s="158">
        <f>Input!D13</f>
        <v>1000</v>
      </c>
      <c r="F141" s="1"/>
      <c r="G141" s="41" t="s">
        <v>181</v>
      </c>
      <c r="H141" s="41"/>
      <c r="I141" s="39"/>
      <c r="J141" s="1"/>
      <c r="K141" s="1"/>
      <c r="L141" s="1"/>
      <c r="M141" s="1"/>
      <c r="N141" s="1"/>
      <c r="O141" s="1"/>
      <c r="P141" s="1"/>
      <c r="Q141" s="1"/>
      <c r="R141" s="1"/>
      <c r="S141" s="1"/>
      <c r="T141" s="1"/>
      <c r="U141" s="1"/>
      <c r="V141" s="1"/>
      <c r="W141" s="1"/>
      <c r="X141" s="1"/>
      <c r="Y141" s="1"/>
      <c r="Z141" s="1"/>
    </row>
    <row r="142" spans="1:26" ht="15.75" customHeight="1">
      <c r="A142" s="1"/>
      <c r="B142" s="1"/>
      <c r="C142" s="1"/>
      <c r="D142" s="2" t="s">
        <v>149</v>
      </c>
      <c r="E142" s="159">
        <f>ROUND(E140/E141,4)</f>
        <v>0.6</v>
      </c>
      <c r="F142" s="2"/>
      <c r="G142" s="2" t="s">
        <v>150</v>
      </c>
      <c r="H142" s="2"/>
      <c r="I142" s="47"/>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57"/>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2" t="s">
        <v>208</v>
      </c>
      <c r="C144" s="1"/>
      <c r="D144" s="1"/>
      <c r="E144" s="157"/>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57">
        <f>E59</f>
        <v>1835.2</v>
      </c>
      <c r="F145" s="1"/>
      <c r="G145" s="1" t="s">
        <v>209</v>
      </c>
      <c r="H145" s="1"/>
      <c r="I145" s="39"/>
      <c r="J145" s="1"/>
      <c r="K145" s="1"/>
      <c r="L145" s="1"/>
      <c r="M145" s="1"/>
      <c r="N145" s="1"/>
      <c r="O145" s="1"/>
      <c r="P145" s="1"/>
      <c r="Q145" s="1"/>
      <c r="R145" s="1"/>
      <c r="S145" s="1"/>
      <c r="T145" s="1"/>
      <c r="U145" s="1"/>
      <c r="V145" s="1"/>
      <c r="W145" s="1"/>
      <c r="X145" s="1"/>
      <c r="Y145" s="1"/>
      <c r="Z145" s="1"/>
    </row>
    <row r="146" spans="1:26" ht="15.75" customHeight="1">
      <c r="A146" s="1"/>
      <c r="B146" s="1"/>
      <c r="C146" s="1"/>
      <c r="D146" s="1" t="s">
        <v>172</v>
      </c>
      <c r="E146" s="157">
        <f>SUM(Summary!F12:F22)</f>
        <v>1977.7266</v>
      </c>
      <c r="F146" s="1"/>
      <c r="G146" s="1" t="s">
        <v>210</v>
      </c>
      <c r="H146" s="1"/>
      <c r="I146" s="39"/>
      <c r="J146" s="1"/>
      <c r="K146" s="1"/>
      <c r="L146" s="1"/>
      <c r="M146" s="1"/>
      <c r="N146" s="1"/>
      <c r="O146" s="1"/>
      <c r="P146" s="1"/>
      <c r="Q146" s="1"/>
      <c r="R146" s="1"/>
      <c r="S146" s="1"/>
      <c r="T146" s="1"/>
      <c r="U146" s="1"/>
      <c r="V146" s="1"/>
      <c r="W146" s="1"/>
      <c r="X146" s="1"/>
      <c r="Y146" s="1"/>
      <c r="Z146" s="1"/>
    </row>
    <row r="147" spans="1:26" ht="15.75" customHeight="1">
      <c r="A147" s="1"/>
      <c r="B147" s="1"/>
      <c r="C147" s="1"/>
      <c r="D147" s="1" t="s">
        <v>211</v>
      </c>
      <c r="E147" s="157">
        <f>Summary!F19</f>
        <v>43.431800000000003</v>
      </c>
      <c r="F147" s="1"/>
      <c r="G147" s="1" t="s">
        <v>212</v>
      </c>
      <c r="H147" s="1"/>
      <c r="I147" s="39"/>
      <c r="J147" s="1"/>
      <c r="K147" s="1"/>
      <c r="L147" s="1"/>
      <c r="M147" s="1"/>
      <c r="N147" s="1"/>
      <c r="O147" s="1"/>
      <c r="P147" s="1"/>
      <c r="Q147" s="1"/>
      <c r="R147" s="1"/>
      <c r="S147" s="1"/>
      <c r="T147" s="1"/>
      <c r="U147" s="1"/>
      <c r="V147" s="1"/>
      <c r="W147" s="1"/>
      <c r="X147" s="1"/>
      <c r="Y147" s="1"/>
      <c r="Z147" s="1"/>
    </row>
    <row r="148" spans="1:26" ht="15.75" customHeight="1">
      <c r="A148" s="1"/>
      <c r="B148" s="1"/>
      <c r="C148" s="1"/>
      <c r="D148" s="1" t="s">
        <v>146</v>
      </c>
      <c r="E148" s="157">
        <v>2</v>
      </c>
      <c r="F148" s="1"/>
      <c r="G148" s="1" t="s">
        <v>213</v>
      </c>
      <c r="H148" s="1"/>
      <c r="I148" s="39"/>
      <c r="J148" s="1"/>
      <c r="K148" s="1"/>
      <c r="L148" s="1"/>
      <c r="M148" s="1"/>
      <c r="N148" s="1"/>
      <c r="O148" s="1"/>
      <c r="P148" s="1"/>
      <c r="Q148" s="1"/>
      <c r="R148" s="1"/>
      <c r="S148" s="1"/>
      <c r="T148" s="1"/>
      <c r="U148" s="1"/>
      <c r="V148" s="1"/>
      <c r="W148" s="1"/>
      <c r="X148" s="1"/>
      <c r="Y148" s="1"/>
      <c r="Z148" s="1"/>
    </row>
    <row r="149" spans="1:26" ht="15.75" customHeight="1">
      <c r="A149" s="1"/>
      <c r="B149" s="1"/>
      <c r="C149" s="1"/>
      <c r="D149" s="41" t="s">
        <v>144</v>
      </c>
      <c r="E149" s="158">
        <f>Input!D14</f>
        <v>1</v>
      </c>
      <c r="F149" s="1"/>
      <c r="G149" s="41" t="s">
        <v>214</v>
      </c>
      <c r="H149" s="41"/>
      <c r="I149" s="39"/>
      <c r="J149" s="1"/>
      <c r="K149" s="1"/>
      <c r="L149" s="1"/>
      <c r="M149" s="1"/>
      <c r="N149" s="1"/>
      <c r="O149" s="1"/>
      <c r="P149" s="1"/>
      <c r="Q149" s="1"/>
      <c r="R149" s="1"/>
      <c r="S149" s="1"/>
      <c r="T149" s="1"/>
      <c r="U149" s="1"/>
      <c r="V149" s="1"/>
      <c r="W149" s="1"/>
      <c r="X149" s="1"/>
      <c r="Y149" s="1"/>
      <c r="Z149" s="1"/>
    </row>
    <row r="150" spans="1:26" ht="15.75" customHeight="1">
      <c r="A150" s="1"/>
      <c r="B150" s="1"/>
      <c r="C150" s="1"/>
      <c r="D150" s="1" t="s">
        <v>149</v>
      </c>
      <c r="E150" s="159">
        <f>ROUND(((E145+E146-E147)/E148)*E149/100,4)</f>
        <v>18.8475</v>
      </c>
      <c r="F150" s="44"/>
      <c r="G150" s="2" t="s">
        <v>150</v>
      </c>
      <c r="H150" s="2"/>
      <c r="I150" s="47"/>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57"/>
      <c r="F151" s="16"/>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2" t="s">
        <v>215</v>
      </c>
      <c r="C152" s="1"/>
      <c r="D152" s="1"/>
      <c r="E152" s="157"/>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57">
        <f>E59</f>
        <v>1835.2</v>
      </c>
      <c r="F153" s="1"/>
      <c r="G153" s="1" t="s">
        <v>216</v>
      </c>
      <c r="H153" s="52"/>
      <c r="I153" s="39"/>
      <c r="J153" s="1"/>
      <c r="K153" s="1"/>
      <c r="L153" s="1"/>
      <c r="M153" s="1"/>
      <c r="N153" s="1"/>
      <c r="O153" s="1"/>
      <c r="P153" s="1"/>
      <c r="Q153" s="1"/>
      <c r="R153" s="1"/>
      <c r="S153" s="1"/>
      <c r="T153" s="1"/>
      <c r="U153" s="1"/>
      <c r="V153" s="1"/>
      <c r="W153" s="1"/>
      <c r="X153" s="1"/>
      <c r="Y153" s="1"/>
      <c r="Z153" s="1"/>
    </row>
    <row r="154" spans="1:26" ht="15.75" customHeight="1">
      <c r="A154" s="1"/>
      <c r="B154" s="1"/>
      <c r="C154" s="1"/>
      <c r="D154" s="1" t="s">
        <v>172</v>
      </c>
      <c r="E154" s="157">
        <f>(Summary!F12+SUM(Summary!F15:F22))/2</f>
        <v>71.263299999999987</v>
      </c>
      <c r="F154" s="1"/>
      <c r="G154" s="1" t="s">
        <v>217</v>
      </c>
      <c r="H154" s="1"/>
      <c r="I154" s="39"/>
      <c r="J154" s="1"/>
      <c r="K154" s="1"/>
      <c r="L154" s="1"/>
      <c r="M154" s="1"/>
      <c r="N154" s="1"/>
      <c r="O154" s="1"/>
      <c r="P154" s="1"/>
      <c r="Q154" s="1"/>
      <c r="R154" s="1"/>
      <c r="S154" s="1"/>
      <c r="T154" s="1"/>
      <c r="U154" s="1"/>
      <c r="V154" s="1"/>
      <c r="W154" s="1"/>
      <c r="X154" s="1"/>
      <c r="Y154" s="1"/>
      <c r="Z154" s="1"/>
    </row>
    <row r="155" spans="1:26" ht="15.75" customHeight="1">
      <c r="A155" s="1"/>
      <c r="B155" s="1"/>
      <c r="C155" s="1"/>
      <c r="D155" s="1" t="s">
        <v>144</v>
      </c>
      <c r="E155" s="157">
        <f>Input!E99</f>
        <v>15</v>
      </c>
      <c r="F155" s="1"/>
      <c r="G155" s="1" t="s">
        <v>218</v>
      </c>
      <c r="H155" s="1"/>
      <c r="I155" s="39"/>
      <c r="J155" s="1"/>
      <c r="K155" s="1"/>
      <c r="L155" s="1"/>
      <c r="M155" s="1"/>
      <c r="N155" s="1"/>
      <c r="O155" s="1"/>
      <c r="P155" s="1"/>
      <c r="Q155" s="1"/>
      <c r="R155" s="1"/>
      <c r="S155" s="1"/>
      <c r="T155" s="1"/>
      <c r="U155" s="1"/>
      <c r="V155" s="1"/>
      <c r="W155" s="1"/>
      <c r="X155" s="1"/>
      <c r="Y155" s="1"/>
      <c r="Z155" s="1"/>
    </row>
    <row r="156" spans="1:26" ht="15.75" customHeight="1">
      <c r="A156" s="1"/>
      <c r="B156" s="1"/>
      <c r="C156" s="1"/>
      <c r="D156" s="1" t="s">
        <v>144</v>
      </c>
      <c r="E156" s="157">
        <f>Input!D23</f>
        <v>100</v>
      </c>
      <c r="F156" s="1"/>
      <c r="G156" s="1" t="s">
        <v>219</v>
      </c>
      <c r="H156" s="1"/>
      <c r="I156" s="39"/>
      <c r="J156" s="1"/>
      <c r="K156" s="1"/>
      <c r="L156" s="1"/>
      <c r="M156" s="1"/>
      <c r="N156" s="1"/>
      <c r="O156" s="1"/>
      <c r="P156" s="1"/>
      <c r="Q156" s="1"/>
      <c r="R156" s="1"/>
      <c r="S156" s="1"/>
      <c r="T156" s="1"/>
      <c r="U156" s="1"/>
      <c r="V156" s="1"/>
      <c r="W156" s="1"/>
      <c r="X156" s="1"/>
      <c r="Y156" s="1"/>
      <c r="Z156" s="1"/>
    </row>
    <row r="157" spans="1:26" ht="15.75" customHeight="1">
      <c r="A157" s="1"/>
      <c r="B157" s="1"/>
      <c r="C157" s="1"/>
      <c r="D157" s="41" t="s">
        <v>146</v>
      </c>
      <c r="E157" s="158">
        <v>365</v>
      </c>
      <c r="F157" s="1"/>
      <c r="G157" s="41" t="s">
        <v>220</v>
      </c>
      <c r="H157" s="41"/>
      <c r="I157" s="39"/>
      <c r="J157" s="1"/>
      <c r="K157" s="1"/>
      <c r="L157" s="1"/>
      <c r="M157" s="1"/>
      <c r="N157" s="1"/>
      <c r="O157" s="1"/>
      <c r="P157" s="1"/>
      <c r="Q157" s="1"/>
      <c r="R157" s="1"/>
      <c r="S157" s="1"/>
      <c r="T157" s="1"/>
      <c r="U157" s="1"/>
      <c r="V157" s="1"/>
      <c r="W157" s="1"/>
      <c r="X157" s="1"/>
      <c r="Y157" s="1"/>
      <c r="Z157" s="1"/>
    </row>
    <row r="158" spans="1:26" ht="15.75" customHeight="1">
      <c r="A158" s="1"/>
      <c r="B158" s="1"/>
      <c r="C158" s="1"/>
      <c r="D158" s="2" t="s">
        <v>149</v>
      </c>
      <c r="E158" s="159">
        <f>ROUND(((E153+E154)*(E155))*(E156/E157/100),4)</f>
        <v>78.347800000000007</v>
      </c>
      <c r="F158" s="2"/>
      <c r="G158" s="2" t="s">
        <v>150</v>
      </c>
      <c r="H158" s="2"/>
      <c r="I158" s="47"/>
      <c r="J158" s="1"/>
      <c r="K158" s="1"/>
      <c r="L158" s="1"/>
      <c r="M158" s="1"/>
      <c r="N158" s="1"/>
      <c r="O158" s="1"/>
      <c r="P158" s="1"/>
      <c r="Q158" s="1"/>
      <c r="R158" s="1"/>
      <c r="S158" s="1"/>
      <c r="T158" s="1"/>
      <c r="U158" s="1"/>
      <c r="V158" s="1"/>
      <c r="W158" s="1"/>
      <c r="X158" s="1"/>
      <c r="Y158" s="1"/>
      <c r="Z158" s="1"/>
    </row>
    <row r="159" spans="1:26" ht="15.75" customHeight="1">
      <c r="A159" s="1"/>
      <c r="B159" s="1"/>
      <c r="C159" s="1"/>
      <c r="D159" s="2"/>
      <c r="E159" s="159"/>
      <c r="F159" s="2"/>
      <c r="G159" s="2"/>
      <c r="H159" s="2"/>
      <c r="I159" s="2"/>
      <c r="J159" s="1"/>
      <c r="K159" s="1"/>
      <c r="L159" s="1"/>
      <c r="M159" s="1"/>
      <c r="N159" s="1"/>
      <c r="O159" s="1"/>
      <c r="P159" s="1"/>
      <c r="Q159" s="1"/>
      <c r="R159" s="1"/>
      <c r="S159" s="1"/>
      <c r="T159" s="1"/>
      <c r="U159" s="1"/>
      <c r="V159" s="1"/>
      <c r="W159" s="1"/>
      <c r="X159" s="1"/>
      <c r="Y159" s="1"/>
      <c r="Z159" s="1"/>
    </row>
    <row r="160" spans="1:26" ht="18" customHeight="1">
      <c r="A160" s="1"/>
      <c r="B160" s="182" t="s">
        <v>109</v>
      </c>
      <c r="C160" s="180"/>
      <c r="D160" s="180"/>
      <c r="E160" s="180"/>
      <c r="F160" s="180"/>
      <c r="G160" s="180"/>
      <c r="H160" s="180"/>
      <c r="I160" s="180"/>
      <c r="J160" s="1"/>
      <c r="K160" s="1"/>
      <c r="L160" s="1"/>
      <c r="M160" s="1"/>
      <c r="N160" s="1"/>
      <c r="O160" s="1"/>
      <c r="P160" s="1"/>
      <c r="Q160" s="1"/>
      <c r="R160" s="1"/>
      <c r="S160" s="1"/>
      <c r="T160" s="1"/>
      <c r="U160" s="1"/>
      <c r="V160" s="1"/>
      <c r="W160" s="1"/>
      <c r="X160" s="1"/>
      <c r="Y160" s="1"/>
      <c r="Z160" s="1"/>
    </row>
    <row r="161" spans="1:26" ht="18" customHeight="1">
      <c r="A161" s="1"/>
      <c r="B161" s="1"/>
      <c r="C161" s="1"/>
      <c r="D161" s="1"/>
      <c r="E161" s="160"/>
      <c r="F161" s="54"/>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2" t="s">
        <v>221</v>
      </c>
      <c r="C162" s="1"/>
      <c r="D162" s="1"/>
      <c r="E162" s="157"/>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2" t="s">
        <v>222</v>
      </c>
      <c r="C163" s="1"/>
      <c r="D163" s="1"/>
      <c r="E163" s="157"/>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t="s">
        <v>116</v>
      </c>
      <c r="C164" s="1"/>
      <c r="D164" s="1"/>
      <c r="E164" s="157"/>
      <c r="F164" s="1"/>
      <c r="G164" s="49">
        <f>Input!D107</f>
        <v>5200</v>
      </c>
      <c r="H164" s="55"/>
      <c r="I164" s="39"/>
      <c r="J164" s="1"/>
      <c r="K164" s="1"/>
      <c r="L164" s="1"/>
      <c r="M164" s="1"/>
      <c r="N164" s="1"/>
      <c r="O164" s="1"/>
      <c r="P164" s="1"/>
      <c r="Q164" s="1"/>
      <c r="R164" s="1"/>
      <c r="S164" s="1"/>
      <c r="T164" s="1"/>
      <c r="U164" s="1"/>
      <c r="V164" s="1"/>
      <c r="W164" s="1"/>
      <c r="X164" s="1"/>
      <c r="Y164" s="1"/>
      <c r="Z164" s="1"/>
    </row>
    <row r="165" spans="1:26" ht="15.75" customHeight="1">
      <c r="A165" s="1"/>
      <c r="B165" s="1" t="s">
        <v>118</v>
      </c>
      <c r="C165" s="1"/>
      <c r="D165" s="1"/>
      <c r="E165" s="157"/>
      <c r="F165" s="1"/>
      <c r="G165" s="49">
        <f>Input!D108</f>
        <v>3300</v>
      </c>
      <c r="H165" s="56"/>
      <c r="I165" s="39"/>
      <c r="J165" s="1"/>
      <c r="K165" s="1"/>
      <c r="L165" s="1"/>
      <c r="M165" s="1"/>
      <c r="N165" s="1"/>
      <c r="O165" s="1"/>
      <c r="P165" s="1"/>
      <c r="Q165" s="1"/>
      <c r="R165" s="1"/>
      <c r="S165" s="1"/>
      <c r="T165" s="1"/>
      <c r="U165" s="1"/>
      <c r="V165" s="1"/>
      <c r="W165" s="1"/>
      <c r="X165" s="1"/>
      <c r="Y165" s="1"/>
      <c r="Z165" s="1"/>
    </row>
    <row r="166" spans="1:26" ht="15.75" customHeight="1">
      <c r="A166" s="1"/>
      <c r="B166" s="1" t="s">
        <v>120</v>
      </c>
      <c r="C166" s="1"/>
      <c r="D166" s="1"/>
      <c r="E166" s="157"/>
      <c r="F166" s="1"/>
      <c r="G166" s="49">
        <f>Input!D110</f>
        <v>5400</v>
      </c>
      <c r="H166" s="55"/>
      <c r="I166" s="39"/>
      <c r="J166" s="1"/>
      <c r="K166" s="1"/>
      <c r="L166" s="1"/>
      <c r="M166" s="1"/>
      <c r="N166" s="1"/>
      <c r="O166" s="1"/>
      <c r="P166" s="1"/>
      <c r="Q166" s="1"/>
      <c r="R166" s="1"/>
      <c r="S166" s="1"/>
      <c r="T166" s="1"/>
      <c r="U166" s="1"/>
      <c r="V166" s="1"/>
      <c r="W166" s="1"/>
      <c r="X166" s="1"/>
      <c r="Y166" s="1"/>
      <c r="Z166" s="1"/>
    </row>
    <row r="167" spans="1:26" ht="15.75" customHeight="1">
      <c r="A167" s="1"/>
      <c r="B167" s="1" t="s">
        <v>121</v>
      </c>
      <c r="C167" s="1"/>
      <c r="D167" s="1"/>
      <c r="E167" s="157"/>
      <c r="F167" s="1"/>
      <c r="G167" s="49">
        <f>Input!D111</f>
        <v>4200</v>
      </c>
      <c r="H167" s="55"/>
      <c r="I167" s="39"/>
      <c r="J167" s="1"/>
      <c r="K167" s="1"/>
      <c r="L167" s="1"/>
      <c r="M167" s="1"/>
      <c r="N167" s="1"/>
      <c r="O167" s="1"/>
      <c r="P167" s="1"/>
      <c r="Q167" s="1"/>
      <c r="R167" s="1"/>
      <c r="S167" s="1"/>
      <c r="T167" s="1"/>
      <c r="U167" s="1"/>
      <c r="V167" s="1"/>
      <c r="W167" s="1"/>
      <c r="X167" s="1"/>
      <c r="Y167" s="1"/>
      <c r="Z167" s="1"/>
    </row>
    <row r="168" spans="1:26" ht="15.75" customHeight="1">
      <c r="A168" s="1"/>
      <c r="B168" s="1" t="s">
        <v>122</v>
      </c>
      <c r="C168" s="1"/>
      <c r="D168" s="1"/>
      <c r="E168" s="157"/>
      <c r="F168" s="1"/>
      <c r="G168" s="49">
        <f>Input!D112</f>
        <v>1500</v>
      </c>
      <c r="H168" s="55"/>
      <c r="I168" s="39"/>
      <c r="J168" s="1"/>
      <c r="K168" s="1"/>
      <c r="L168" s="1"/>
      <c r="M168" s="1"/>
      <c r="N168" s="1"/>
      <c r="O168" s="1"/>
      <c r="P168" s="1"/>
      <c r="Q168" s="1"/>
      <c r="R168" s="1"/>
      <c r="S168" s="1"/>
      <c r="T168" s="1"/>
      <c r="U168" s="1"/>
      <c r="V168" s="1"/>
      <c r="W168" s="1"/>
      <c r="X168" s="1"/>
      <c r="Y168" s="1"/>
      <c r="Z168" s="1"/>
    </row>
    <row r="169" spans="1:26" ht="15.75" customHeight="1">
      <c r="A169" s="1"/>
      <c r="B169" s="1" t="s">
        <v>123</v>
      </c>
      <c r="C169" s="1"/>
      <c r="D169" s="1"/>
      <c r="E169" s="157"/>
      <c r="F169" s="1"/>
      <c r="G169" s="49">
        <f>Input!D113</f>
        <v>15000</v>
      </c>
      <c r="H169" s="55"/>
      <c r="I169" s="39"/>
      <c r="J169" s="1"/>
      <c r="K169" s="1"/>
      <c r="L169" s="1"/>
      <c r="M169" s="1"/>
      <c r="N169" s="1"/>
      <c r="O169" s="1"/>
      <c r="P169" s="1"/>
      <c r="Q169" s="1"/>
      <c r="R169" s="1"/>
      <c r="S169" s="1"/>
      <c r="T169" s="1"/>
      <c r="U169" s="1"/>
      <c r="V169" s="1"/>
      <c r="W169" s="1"/>
      <c r="X169" s="1"/>
      <c r="Y169" s="1"/>
      <c r="Z169" s="1"/>
    </row>
    <row r="170" spans="1:26" ht="15.75" customHeight="1">
      <c r="A170" s="1"/>
      <c r="B170" s="1" t="s">
        <v>124</v>
      </c>
      <c r="C170" s="1"/>
      <c r="D170" s="1"/>
      <c r="E170" s="157"/>
      <c r="F170" s="1"/>
      <c r="G170" s="49">
        <f>Input!D114</f>
        <v>5000</v>
      </c>
      <c r="H170" s="55"/>
      <c r="I170" s="39"/>
      <c r="J170" s="1"/>
      <c r="K170" s="1"/>
      <c r="L170" s="1"/>
      <c r="M170" s="1"/>
      <c r="N170" s="1"/>
      <c r="O170" s="1"/>
      <c r="P170" s="1"/>
      <c r="Q170" s="1"/>
      <c r="R170" s="1"/>
      <c r="S170" s="1"/>
      <c r="T170" s="1"/>
      <c r="U170" s="1"/>
      <c r="V170" s="1"/>
      <c r="W170" s="1"/>
      <c r="X170" s="1"/>
      <c r="Y170" s="1"/>
      <c r="Z170" s="1"/>
    </row>
    <row r="171" spans="1:26" ht="15.75" customHeight="1">
      <c r="A171" s="1"/>
      <c r="B171" s="1" t="s">
        <v>125</v>
      </c>
      <c r="C171" s="1"/>
      <c r="D171" s="1"/>
      <c r="E171" s="157"/>
      <c r="F171" s="1"/>
      <c r="G171" s="49">
        <f>Input!D115</f>
        <v>4000</v>
      </c>
      <c r="H171" s="55"/>
      <c r="I171" s="39"/>
      <c r="J171" s="1"/>
      <c r="K171" s="1"/>
      <c r="L171" s="1"/>
      <c r="M171" s="1"/>
      <c r="N171" s="1"/>
      <c r="O171" s="1"/>
      <c r="P171" s="1"/>
      <c r="Q171" s="1"/>
      <c r="R171" s="1"/>
      <c r="S171" s="1"/>
      <c r="T171" s="1"/>
      <c r="U171" s="1"/>
      <c r="V171" s="1"/>
      <c r="W171" s="1"/>
      <c r="X171" s="1"/>
      <c r="Y171" s="1"/>
      <c r="Z171" s="1"/>
    </row>
    <row r="172" spans="1:26" ht="15.75" customHeight="1">
      <c r="A172" s="1"/>
      <c r="B172" s="1" t="s">
        <v>126</v>
      </c>
      <c r="C172" s="1"/>
      <c r="D172" s="1"/>
      <c r="E172" s="157"/>
      <c r="F172" s="1"/>
      <c r="G172" s="57">
        <f>Input!D116</f>
        <v>14000</v>
      </c>
      <c r="H172" s="58"/>
      <c r="I172" s="39"/>
      <c r="J172" s="1"/>
      <c r="K172" s="1"/>
      <c r="L172" s="1"/>
      <c r="M172" s="1"/>
      <c r="N172" s="1"/>
      <c r="O172" s="1"/>
      <c r="P172" s="1"/>
      <c r="Q172" s="1"/>
      <c r="R172" s="1"/>
      <c r="S172" s="1"/>
      <c r="T172" s="1"/>
      <c r="U172" s="1"/>
      <c r="V172" s="1"/>
      <c r="W172" s="1"/>
      <c r="X172" s="1"/>
      <c r="Y172" s="1"/>
      <c r="Z172" s="1"/>
    </row>
    <row r="173" spans="1:26" ht="15.75" customHeight="1">
      <c r="A173" s="1"/>
      <c r="B173" s="2" t="s">
        <v>127</v>
      </c>
      <c r="C173" s="1"/>
      <c r="D173" s="1"/>
      <c r="E173" s="157"/>
      <c r="F173" s="1"/>
      <c r="G173" s="59">
        <f>SUM(G164:G172)</f>
        <v>57600</v>
      </c>
      <c r="H173" s="2"/>
      <c r="I173" s="39"/>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57"/>
      <c r="F174" s="1"/>
      <c r="G174" s="2"/>
      <c r="H174" s="2"/>
      <c r="I174" s="1"/>
      <c r="J174" s="1"/>
      <c r="K174" s="1"/>
      <c r="L174" s="1"/>
      <c r="M174" s="1"/>
      <c r="N174" s="1"/>
      <c r="O174" s="1"/>
      <c r="P174" s="1"/>
      <c r="Q174" s="1"/>
      <c r="R174" s="1"/>
      <c r="S174" s="1"/>
      <c r="T174" s="1"/>
      <c r="U174" s="1"/>
      <c r="V174" s="1"/>
      <c r="W174" s="1"/>
      <c r="X174" s="1"/>
      <c r="Y174" s="1"/>
      <c r="Z174" s="1"/>
    </row>
    <row r="175" spans="1:26" ht="15.75" customHeight="1">
      <c r="A175" s="1"/>
      <c r="B175" s="2" t="s">
        <v>128</v>
      </c>
      <c r="C175" s="1"/>
      <c r="D175" s="1"/>
      <c r="E175" s="157"/>
      <c r="F175" s="1"/>
      <c r="G175" s="1" t="s">
        <v>51</v>
      </c>
      <c r="H175" s="1"/>
      <c r="I175" s="1"/>
      <c r="J175" s="1"/>
      <c r="K175" s="1"/>
      <c r="L175" s="1"/>
      <c r="M175" s="1"/>
      <c r="N175" s="1"/>
      <c r="O175" s="1"/>
      <c r="P175" s="1"/>
      <c r="Q175" s="1"/>
      <c r="R175" s="1"/>
      <c r="S175" s="1"/>
      <c r="T175" s="1"/>
      <c r="U175" s="1"/>
      <c r="V175" s="1"/>
      <c r="W175" s="1"/>
      <c r="X175" s="1"/>
      <c r="Y175" s="1"/>
      <c r="Z175" s="1"/>
    </row>
    <row r="176" spans="1:26" ht="15.75" customHeight="1">
      <c r="A176" s="1"/>
      <c r="B176" s="1" t="s">
        <v>223</v>
      </c>
      <c r="C176" s="1"/>
      <c r="D176" s="1"/>
      <c r="E176" s="157"/>
      <c r="F176" s="1"/>
      <c r="G176" s="49">
        <f>Input!D120</f>
        <v>50000</v>
      </c>
      <c r="H176" s="55"/>
      <c r="I176" s="39"/>
      <c r="J176" s="1"/>
      <c r="K176" s="1"/>
      <c r="L176" s="1"/>
      <c r="M176" s="1"/>
      <c r="N176" s="1"/>
      <c r="O176" s="1"/>
      <c r="P176" s="1"/>
      <c r="Q176" s="1"/>
      <c r="R176" s="1"/>
      <c r="S176" s="1"/>
      <c r="T176" s="1"/>
      <c r="U176" s="1"/>
      <c r="V176" s="1"/>
      <c r="W176" s="1"/>
      <c r="X176" s="1"/>
      <c r="Y176" s="1"/>
      <c r="Z176" s="1"/>
    </row>
    <row r="177" spans="1:26" ht="15.75" customHeight="1">
      <c r="A177" s="1"/>
      <c r="B177" s="1" t="s">
        <v>130</v>
      </c>
      <c r="C177" s="1"/>
      <c r="D177" s="1"/>
      <c r="E177" s="157"/>
      <c r="F177" s="1"/>
      <c r="G177" s="57">
        <f>Input!D121</f>
        <v>20000</v>
      </c>
      <c r="H177" s="55"/>
      <c r="I177" s="60"/>
      <c r="J177" s="1"/>
      <c r="K177" s="1"/>
      <c r="L177" s="1"/>
      <c r="M177" s="1"/>
      <c r="N177" s="1"/>
      <c r="O177" s="1"/>
      <c r="P177" s="1"/>
      <c r="Q177" s="1"/>
      <c r="R177" s="1"/>
      <c r="S177" s="1"/>
      <c r="T177" s="1"/>
      <c r="U177" s="1"/>
      <c r="V177" s="1"/>
      <c r="W177" s="1"/>
      <c r="X177" s="1"/>
      <c r="Y177" s="1"/>
      <c r="Z177" s="1"/>
    </row>
    <row r="178" spans="1:26" ht="15.75" customHeight="1">
      <c r="A178" s="1"/>
      <c r="B178" s="2" t="s">
        <v>127</v>
      </c>
      <c r="C178" s="1"/>
      <c r="D178" s="1"/>
      <c r="E178" s="157"/>
      <c r="F178" s="1"/>
      <c r="G178" s="59">
        <f>G176+G177</f>
        <v>70000</v>
      </c>
      <c r="H178" s="55"/>
      <c r="I178" s="60"/>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57"/>
      <c r="F179" s="1"/>
      <c r="G179" s="52"/>
      <c r="H179" s="1"/>
      <c r="I179" s="1"/>
      <c r="J179" s="1"/>
      <c r="K179" s="1"/>
      <c r="L179" s="1"/>
      <c r="M179" s="1"/>
      <c r="N179" s="1"/>
      <c r="O179" s="1"/>
      <c r="P179" s="1"/>
      <c r="Q179" s="1"/>
      <c r="R179" s="1"/>
      <c r="S179" s="1"/>
      <c r="T179" s="1"/>
      <c r="U179" s="1"/>
      <c r="V179" s="1"/>
      <c r="W179" s="1"/>
      <c r="X179" s="1"/>
      <c r="Y179" s="1"/>
      <c r="Z179" s="1"/>
    </row>
    <row r="180" spans="1:26" ht="15.75" customHeight="1">
      <c r="A180" s="1"/>
      <c r="B180" s="2" t="s">
        <v>131</v>
      </c>
      <c r="C180" s="1"/>
      <c r="D180" s="1"/>
      <c r="E180" s="157"/>
      <c r="F180" s="1"/>
      <c r="G180" s="59">
        <f>G173+G176+G177</f>
        <v>127600</v>
      </c>
      <c r="H180" s="2"/>
      <c r="I180" s="39"/>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57"/>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2" t="s">
        <v>224</v>
      </c>
      <c r="B182" s="1"/>
      <c r="C182" s="1"/>
      <c r="D182" s="1"/>
      <c r="E182" s="157"/>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57"/>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2" t="s">
        <v>225</v>
      </c>
      <c r="C184" s="1"/>
      <c r="D184" s="1"/>
      <c r="E184" s="161" t="s">
        <v>226</v>
      </c>
      <c r="F184" s="61"/>
      <c r="G184" s="61"/>
      <c r="H184" s="62"/>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62" t="s">
        <v>227</v>
      </c>
      <c r="H185" s="63"/>
      <c r="I185" s="1"/>
      <c r="J185" s="1"/>
      <c r="K185" s="1"/>
      <c r="L185" s="1"/>
      <c r="M185" s="1"/>
      <c r="N185" s="1"/>
      <c r="O185" s="1"/>
      <c r="P185" s="1"/>
      <c r="Q185" s="1"/>
      <c r="R185" s="1"/>
      <c r="S185" s="1"/>
      <c r="T185" s="1"/>
      <c r="U185" s="1"/>
      <c r="V185" s="1"/>
      <c r="W185" s="1"/>
      <c r="X185" s="1"/>
      <c r="Y185" s="1"/>
      <c r="Z185" s="1"/>
    </row>
    <row r="186" spans="1:26" ht="15.75" customHeight="1">
      <c r="A186" s="1"/>
      <c r="B186" s="2" t="s">
        <v>228</v>
      </c>
      <c r="C186" s="1"/>
      <c r="D186" s="1"/>
      <c r="E186" s="157"/>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57">
        <f>Input!D117</f>
        <v>57600</v>
      </c>
      <c r="F187" s="1"/>
      <c r="G187" s="1" t="s">
        <v>229</v>
      </c>
      <c r="H187" s="1"/>
      <c r="I187" s="39"/>
      <c r="J187" s="1"/>
      <c r="K187" s="1"/>
      <c r="L187" s="1"/>
      <c r="M187" s="1"/>
      <c r="N187" s="1"/>
      <c r="O187" s="1"/>
      <c r="P187" s="1"/>
      <c r="Q187" s="1"/>
      <c r="R187" s="1"/>
      <c r="S187" s="1"/>
      <c r="T187" s="1"/>
      <c r="U187" s="1"/>
      <c r="V187" s="1"/>
      <c r="W187" s="1"/>
      <c r="X187" s="1"/>
      <c r="Y187" s="1"/>
      <c r="Z187" s="1"/>
    </row>
    <row r="188" spans="1:26" ht="15.75" customHeight="1">
      <c r="A188" s="1"/>
      <c r="B188" s="1"/>
      <c r="C188" s="1"/>
      <c r="D188" s="1" t="s">
        <v>211</v>
      </c>
      <c r="E188" s="157">
        <f>ROUND(Input!D117*(Input!E107/100),2)</f>
        <v>5760</v>
      </c>
      <c r="F188" s="1"/>
      <c r="G188" s="1" t="s">
        <v>230</v>
      </c>
      <c r="H188" s="1"/>
      <c r="I188" s="39"/>
      <c r="J188" s="1"/>
      <c r="K188" s="1"/>
      <c r="L188" s="1"/>
      <c r="M188" s="1"/>
      <c r="N188" s="1"/>
      <c r="O188" s="1"/>
      <c r="P188" s="1"/>
      <c r="Q188" s="1"/>
      <c r="R188" s="1"/>
      <c r="S188" s="1"/>
      <c r="T188" s="1"/>
      <c r="U188" s="1"/>
      <c r="V188" s="1"/>
      <c r="W188" s="1"/>
      <c r="X188" s="1"/>
      <c r="Y188" s="1"/>
      <c r="Z188" s="1"/>
    </row>
    <row r="189" spans="1:26" ht="15.75" customHeight="1">
      <c r="A189" s="1"/>
      <c r="B189" s="1"/>
      <c r="C189" s="1"/>
      <c r="D189" s="1" t="s">
        <v>146</v>
      </c>
      <c r="E189" s="157">
        <f>Input!G107</f>
        <v>20</v>
      </c>
      <c r="F189" s="1"/>
      <c r="G189" s="1" t="s">
        <v>231</v>
      </c>
      <c r="H189" s="1"/>
      <c r="I189" s="39"/>
      <c r="J189" s="1"/>
      <c r="K189" s="1"/>
      <c r="L189" s="1"/>
      <c r="M189" s="1"/>
      <c r="N189" s="1"/>
      <c r="O189" s="1"/>
      <c r="P189" s="1"/>
      <c r="Q189" s="1"/>
      <c r="R189" s="1"/>
      <c r="S189" s="1"/>
      <c r="T189" s="1"/>
      <c r="U189" s="1"/>
      <c r="V189" s="1"/>
      <c r="W189" s="1"/>
      <c r="X189" s="1"/>
      <c r="Y189" s="1"/>
      <c r="Z189" s="1"/>
    </row>
    <row r="190" spans="1:26" ht="15.75" customHeight="1">
      <c r="A190" s="1"/>
      <c r="B190" s="1"/>
      <c r="C190" s="1"/>
      <c r="D190" s="41" t="s">
        <v>146</v>
      </c>
      <c r="E190" s="158">
        <f>Input!D13</f>
        <v>1000</v>
      </c>
      <c r="F190" s="41"/>
      <c r="G190" s="41" t="s">
        <v>181</v>
      </c>
      <c r="H190" s="41"/>
      <c r="I190" s="39"/>
      <c r="J190" s="1"/>
      <c r="K190" s="1"/>
      <c r="L190" s="1"/>
      <c r="M190" s="1"/>
      <c r="N190" s="1"/>
      <c r="O190" s="1"/>
      <c r="P190" s="1"/>
      <c r="Q190" s="1"/>
      <c r="R190" s="1"/>
      <c r="S190" s="1"/>
      <c r="T190" s="1"/>
      <c r="U190" s="1"/>
      <c r="V190" s="1"/>
      <c r="W190" s="1"/>
      <c r="X190" s="1"/>
      <c r="Y190" s="1"/>
      <c r="Z190" s="1"/>
    </row>
    <row r="191" spans="1:26" ht="15.75" customHeight="1">
      <c r="A191" s="1"/>
      <c r="B191" s="1"/>
      <c r="C191" s="1"/>
      <c r="D191" s="2" t="s">
        <v>149</v>
      </c>
      <c r="E191" s="159">
        <f>ROUND(((E187-E188)/E189/E190),4)</f>
        <v>2.5920000000000001</v>
      </c>
      <c r="F191" s="2"/>
      <c r="G191" s="2" t="s">
        <v>150</v>
      </c>
      <c r="H191" s="2"/>
      <c r="I191" s="47"/>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57"/>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2" t="s">
        <v>232</v>
      </c>
      <c r="C193" s="1"/>
      <c r="D193" s="1"/>
      <c r="E193" s="157"/>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57">
        <f>Input!D120+Input!D121</f>
        <v>70000</v>
      </c>
      <c r="F194" s="1"/>
      <c r="G194" s="1" t="s">
        <v>229</v>
      </c>
      <c r="H194" s="1"/>
      <c r="I194" s="39"/>
      <c r="J194" s="1"/>
      <c r="K194" s="1"/>
      <c r="L194" s="1"/>
      <c r="M194" s="1"/>
      <c r="N194" s="1"/>
      <c r="O194" s="1"/>
      <c r="P194" s="1"/>
      <c r="Q194" s="1"/>
      <c r="R194" s="1"/>
      <c r="S194" s="1"/>
      <c r="T194" s="1"/>
      <c r="U194" s="1"/>
      <c r="V194" s="1"/>
      <c r="W194" s="1"/>
      <c r="X194" s="1"/>
      <c r="Y194" s="1"/>
      <c r="Z194" s="1"/>
    </row>
    <row r="195" spans="1:26" ht="15.75" customHeight="1">
      <c r="A195" s="1"/>
      <c r="B195" s="1"/>
      <c r="C195" s="1"/>
      <c r="D195" s="1" t="s">
        <v>211</v>
      </c>
      <c r="E195" s="157">
        <f>ROUND(E194*(Input!E120/100),2)</f>
        <v>14000</v>
      </c>
      <c r="F195" s="1"/>
      <c r="G195" s="1" t="s">
        <v>230</v>
      </c>
      <c r="H195" s="1"/>
      <c r="I195" s="39"/>
      <c r="J195" s="1"/>
      <c r="K195" s="1"/>
      <c r="L195" s="1"/>
      <c r="M195" s="1"/>
      <c r="N195" s="1"/>
      <c r="O195" s="1"/>
      <c r="P195" s="1"/>
      <c r="Q195" s="1"/>
      <c r="R195" s="1"/>
      <c r="S195" s="1"/>
      <c r="T195" s="1"/>
      <c r="U195" s="1"/>
      <c r="V195" s="1"/>
      <c r="W195" s="1"/>
      <c r="X195" s="1"/>
      <c r="Y195" s="1"/>
      <c r="Z195" s="1"/>
    </row>
    <row r="196" spans="1:26" ht="15.75" customHeight="1">
      <c r="A196" s="1"/>
      <c r="B196" s="1"/>
      <c r="C196" s="1"/>
      <c r="D196" s="1" t="s">
        <v>146</v>
      </c>
      <c r="E196" s="157">
        <f>Input!G120</f>
        <v>10</v>
      </c>
      <c r="F196" s="1"/>
      <c r="G196" s="1" t="s">
        <v>231</v>
      </c>
      <c r="H196" s="1"/>
      <c r="I196" s="39"/>
      <c r="J196" s="1"/>
      <c r="K196" s="1"/>
      <c r="L196" s="1"/>
      <c r="M196" s="1"/>
      <c r="N196" s="1"/>
      <c r="O196" s="1"/>
      <c r="P196" s="1"/>
      <c r="Q196" s="1"/>
      <c r="R196" s="1"/>
      <c r="S196" s="1"/>
      <c r="T196" s="1"/>
      <c r="U196" s="1"/>
      <c r="V196" s="1"/>
      <c r="W196" s="1"/>
      <c r="X196" s="1"/>
      <c r="Y196" s="1"/>
      <c r="Z196" s="1"/>
    </row>
    <row r="197" spans="1:26" ht="15.75" customHeight="1">
      <c r="A197" s="1"/>
      <c r="B197" s="1"/>
      <c r="C197" s="1"/>
      <c r="D197" s="41" t="s">
        <v>146</v>
      </c>
      <c r="E197" s="158">
        <f>Input!D13</f>
        <v>1000</v>
      </c>
      <c r="F197" s="41"/>
      <c r="G197" s="41" t="s">
        <v>181</v>
      </c>
      <c r="H197" s="41"/>
      <c r="I197" s="39"/>
      <c r="J197" s="1"/>
      <c r="K197" s="1"/>
      <c r="L197" s="1"/>
      <c r="M197" s="1"/>
      <c r="N197" s="1"/>
      <c r="O197" s="1"/>
      <c r="P197" s="1"/>
      <c r="Q197" s="1"/>
      <c r="R197" s="1"/>
      <c r="S197" s="1"/>
      <c r="T197" s="1"/>
      <c r="U197" s="1"/>
      <c r="V197" s="1"/>
      <c r="W197" s="1"/>
      <c r="X197" s="1"/>
      <c r="Y197" s="1"/>
      <c r="Z197" s="1"/>
    </row>
    <row r="198" spans="1:26" ht="15.75" customHeight="1">
      <c r="A198" s="1"/>
      <c r="B198" s="1"/>
      <c r="C198" s="1"/>
      <c r="D198" s="2" t="s">
        <v>149</v>
      </c>
      <c r="E198" s="159">
        <f>ROUND(((E194-E195)/E196/E197),4)</f>
        <v>5.6</v>
      </c>
      <c r="F198" s="2"/>
      <c r="G198" s="2" t="s">
        <v>150</v>
      </c>
      <c r="H198" s="2"/>
      <c r="I198" s="47"/>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57"/>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2" t="s">
        <v>233</v>
      </c>
      <c r="C200" s="1"/>
      <c r="D200" s="1"/>
      <c r="E200" s="183" t="s">
        <v>234</v>
      </c>
      <c r="F200" s="180"/>
      <c r="G200" s="180"/>
      <c r="H200" s="180"/>
      <c r="I200" s="180"/>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63"/>
      <c r="F201" s="13" t="s">
        <v>235</v>
      </c>
      <c r="G201" s="13"/>
      <c r="H201" s="13"/>
      <c r="I201" s="2"/>
      <c r="J201" s="1"/>
      <c r="K201" s="1"/>
      <c r="L201" s="1"/>
      <c r="M201" s="1"/>
      <c r="N201" s="1"/>
      <c r="O201" s="1"/>
      <c r="P201" s="1"/>
      <c r="Q201" s="1"/>
      <c r="R201" s="1"/>
      <c r="S201" s="1"/>
      <c r="T201" s="1"/>
      <c r="U201" s="1"/>
      <c r="V201" s="1"/>
      <c r="W201" s="1"/>
      <c r="X201" s="1"/>
      <c r="Y201" s="1"/>
      <c r="Z201" s="1"/>
    </row>
    <row r="202" spans="1:26" ht="15.75" customHeight="1">
      <c r="A202" s="1"/>
      <c r="B202" s="2" t="s">
        <v>236</v>
      </c>
      <c r="C202" s="1"/>
      <c r="D202" s="1"/>
      <c r="E202" s="157"/>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57">
        <f t="shared" ref="E203:E204" si="0">E187</f>
        <v>57600</v>
      </c>
      <c r="F203" s="1"/>
      <c r="G203" s="1" t="s">
        <v>229</v>
      </c>
      <c r="H203" s="1"/>
      <c r="I203" s="39"/>
      <c r="J203" s="1"/>
      <c r="K203" s="1"/>
      <c r="L203" s="1"/>
      <c r="M203" s="1"/>
      <c r="N203" s="1"/>
      <c r="O203" s="1"/>
      <c r="P203" s="1"/>
      <c r="Q203" s="1"/>
      <c r="R203" s="1"/>
      <c r="S203" s="1"/>
      <c r="T203" s="1"/>
      <c r="U203" s="1"/>
      <c r="V203" s="1"/>
      <c r="W203" s="1"/>
      <c r="X203" s="1"/>
      <c r="Y203" s="1"/>
      <c r="Z203" s="1"/>
    </row>
    <row r="204" spans="1:26" ht="15.75" customHeight="1">
      <c r="A204" s="1"/>
      <c r="B204" s="1"/>
      <c r="C204" s="1"/>
      <c r="D204" s="1" t="s">
        <v>172</v>
      </c>
      <c r="E204" s="157">
        <f t="shared" si="0"/>
        <v>5760</v>
      </c>
      <c r="F204" s="1"/>
      <c r="G204" s="1" t="s">
        <v>230</v>
      </c>
      <c r="H204" s="1"/>
      <c r="I204" s="39"/>
      <c r="J204" s="1"/>
      <c r="K204" s="1"/>
      <c r="L204" s="1"/>
      <c r="M204" s="1"/>
      <c r="N204" s="1"/>
      <c r="O204" s="1"/>
      <c r="P204" s="1"/>
      <c r="Q204" s="1"/>
      <c r="R204" s="1"/>
      <c r="S204" s="1"/>
      <c r="T204" s="1"/>
      <c r="U204" s="1"/>
      <c r="V204" s="1"/>
      <c r="W204" s="1"/>
      <c r="X204" s="1"/>
      <c r="Y204" s="1"/>
      <c r="Z204" s="1"/>
    </row>
    <row r="205" spans="1:26" ht="15.75" customHeight="1">
      <c r="A205" s="1"/>
      <c r="B205" s="1"/>
      <c r="C205" s="1"/>
      <c r="D205" s="1" t="s">
        <v>146</v>
      </c>
      <c r="E205" s="157">
        <v>2</v>
      </c>
      <c r="F205" s="1"/>
      <c r="G205" s="1" t="s">
        <v>237</v>
      </c>
      <c r="H205" s="1"/>
      <c r="I205" s="39"/>
      <c r="J205" s="1"/>
      <c r="K205" s="1"/>
      <c r="L205" s="1"/>
      <c r="M205" s="1"/>
      <c r="N205" s="1"/>
      <c r="O205" s="1"/>
      <c r="P205" s="1"/>
      <c r="Q205" s="1"/>
      <c r="R205" s="1"/>
      <c r="S205" s="1"/>
      <c r="T205" s="1"/>
      <c r="U205" s="1"/>
      <c r="V205" s="1"/>
      <c r="W205" s="1"/>
      <c r="X205" s="1"/>
      <c r="Y205" s="1"/>
      <c r="Z205" s="1"/>
    </row>
    <row r="206" spans="1:26" ht="15.75" customHeight="1">
      <c r="A206" s="1"/>
      <c r="B206" s="1"/>
      <c r="C206" s="1"/>
      <c r="D206" s="1" t="s">
        <v>144</v>
      </c>
      <c r="E206" s="157">
        <f>Input!E100</f>
        <v>2.5</v>
      </c>
      <c r="F206" s="1"/>
      <c r="G206" s="1" t="s">
        <v>238</v>
      </c>
      <c r="H206" s="1"/>
      <c r="I206" s="39"/>
      <c r="J206" s="1"/>
      <c r="K206" s="1"/>
      <c r="L206" s="1"/>
      <c r="M206" s="1"/>
      <c r="N206" s="1"/>
      <c r="O206" s="1"/>
      <c r="P206" s="1"/>
      <c r="Q206" s="1"/>
      <c r="R206" s="1"/>
      <c r="S206" s="1"/>
      <c r="T206" s="1"/>
      <c r="U206" s="1"/>
      <c r="V206" s="1"/>
      <c r="W206" s="1"/>
      <c r="X206" s="1"/>
      <c r="Y206" s="1"/>
      <c r="Z206" s="1"/>
    </row>
    <row r="207" spans="1:26" ht="15.75" customHeight="1">
      <c r="A207" s="1"/>
      <c r="B207" s="1"/>
      <c r="C207" s="1"/>
      <c r="D207" s="41" t="s">
        <v>146</v>
      </c>
      <c r="E207" s="158">
        <f>Input!D13</f>
        <v>1000</v>
      </c>
      <c r="F207" s="41"/>
      <c r="G207" s="41" t="s">
        <v>181</v>
      </c>
      <c r="H207" s="41"/>
      <c r="I207" s="39"/>
      <c r="J207" s="1"/>
      <c r="K207" s="1"/>
      <c r="L207" s="1"/>
      <c r="M207" s="1"/>
      <c r="N207" s="1"/>
      <c r="O207" s="1"/>
      <c r="P207" s="1"/>
      <c r="Q207" s="1"/>
      <c r="R207" s="1"/>
      <c r="S207" s="1"/>
      <c r="T207" s="1"/>
      <c r="U207" s="1"/>
      <c r="V207" s="1"/>
      <c r="W207" s="1"/>
      <c r="X207" s="1"/>
      <c r="Y207" s="1"/>
      <c r="Z207" s="1"/>
    </row>
    <row r="208" spans="1:26" ht="15.75" customHeight="1">
      <c r="A208" s="1"/>
      <c r="B208" s="1"/>
      <c r="C208" s="1"/>
      <c r="D208" s="2" t="s">
        <v>149</v>
      </c>
      <c r="E208" s="159">
        <f>ROUND(((E203+E204)/E205*(E206/100)/E207),4)</f>
        <v>0.79200000000000004</v>
      </c>
      <c r="F208" s="2"/>
      <c r="G208" s="2" t="s">
        <v>150</v>
      </c>
      <c r="H208" s="2"/>
      <c r="I208" s="47"/>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57"/>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2" t="s">
        <v>239</v>
      </c>
      <c r="C210" s="1"/>
      <c r="D210" s="1"/>
      <c r="E210" s="157"/>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57">
        <f t="shared" ref="E211:E212" si="1">E194</f>
        <v>70000</v>
      </c>
      <c r="F211" s="1"/>
      <c r="G211" s="1" t="s">
        <v>229</v>
      </c>
      <c r="H211" s="1"/>
      <c r="I211" s="39"/>
      <c r="J211" s="1"/>
      <c r="K211" s="1"/>
      <c r="L211" s="1"/>
      <c r="M211" s="1"/>
      <c r="N211" s="1"/>
      <c r="O211" s="1"/>
      <c r="P211" s="1"/>
      <c r="Q211" s="1"/>
      <c r="R211" s="1"/>
      <c r="S211" s="1"/>
      <c r="T211" s="1"/>
      <c r="U211" s="1"/>
      <c r="V211" s="1"/>
      <c r="W211" s="1"/>
      <c r="X211" s="1"/>
      <c r="Y211" s="1"/>
      <c r="Z211" s="1"/>
    </row>
    <row r="212" spans="1:26" ht="15.75" customHeight="1">
      <c r="A212" s="1"/>
      <c r="B212" s="1"/>
      <c r="C212" s="1"/>
      <c r="D212" s="1" t="s">
        <v>172</v>
      </c>
      <c r="E212" s="157">
        <f t="shared" si="1"/>
        <v>14000</v>
      </c>
      <c r="F212" s="1"/>
      <c r="G212" s="1" t="s">
        <v>230</v>
      </c>
      <c r="H212" s="1"/>
      <c r="I212" s="39"/>
      <c r="J212" s="1"/>
      <c r="K212" s="1"/>
      <c r="L212" s="1"/>
      <c r="M212" s="1"/>
      <c r="N212" s="1"/>
      <c r="O212" s="1"/>
      <c r="P212" s="1"/>
      <c r="Q212" s="1"/>
      <c r="R212" s="1"/>
      <c r="S212" s="1"/>
      <c r="T212" s="1"/>
      <c r="U212" s="1"/>
      <c r="V212" s="1"/>
      <c r="W212" s="1"/>
      <c r="X212" s="1"/>
      <c r="Y212" s="1"/>
      <c r="Z212" s="1"/>
    </row>
    <row r="213" spans="1:26" ht="15.75" customHeight="1">
      <c r="A213" s="1"/>
      <c r="B213" s="1"/>
      <c r="C213" s="1"/>
      <c r="D213" s="1" t="s">
        <v>146</v>
      </c>
      <c r="E213" s="157">
        <v>2</v>
      </c>
      <c r="F213" s="1"/>
      <c r="G213" s="1" t="s">
        <v>237</v>
      </c>
      <c r="H213" s="1"/>
      <c r="I213" s="39"/>
      <c r="J213" s="1"/>
      <c r="K213" s="1"/>
      <c r="L213" s="1"/>
      <c r="M213" s="1"/>
      <c r="N213" s="1"/>
      <c r="O213" s="1"/>
      <c r="P213" s="1"/>
      <c r="Q213" s="1"/>
      <c r="R213" s="1"/>
      <c r="S213" s="1"/>
      <c r="T213" s="1"/>
      <c r="U213" s="1"/>
      <c r="V213" s="1"/>
      <c r="W213" s="1"/>
      <c r="X213" s="1"/>
      <c r="Y213" s="1"/>
      <c r="Z213" s="1"/>
    </row>
    <row r="214" spans="1:26" ht="15.75" customHeight="1">
      <c r="A214" s="1"/>
      <c r="B214" s="1"/>
      <c r="C214" s="1"/>
      <c r="D214" s="1" t="s">
        <v>144</v>
      </c>
      <c r="E214" s="157">
        <f>Input!E100</f>
        <v>2.5</v>
      </c>
      <c r="F214" s="1"/>
      <c r="G214" s="1" t="s">
        <v>238</v>
      </c>
      <c r="H214" s="1"/>
      <c r="I214" s="39"/>
      <c r="J214" s="1"/>
      <c r="K214" s="1"/>
      <c r="L214" s="1"/>
      <c r="M214" s="1"/>
      <c r="N214" s="1"/>
      <c r="O214" s="1"/>
      <c r="P214" s="1"/>
      <c r="Q214" s="1"/>
      <c r="R214" s="1"/>
      <c r="S214" s="1"/>
      <c r="T214" s="1"/>
      <c r="U214" s="1"/>
      <c r="V214" s="1"/>
      <c r="W214" s="1"/>
      <c r="X214" s="1"/>
      <c r="Y214" s="1"/>
      <c r="Z214" s="1"/>
    </row>
    <row r="215" spans="1:26" ht="15.75" customHeight="1">
      <c r="A215" s="1"/>
      <c r="B215" s="1"/>
      <c r="C215" s="1"/>
      <c r="D215" s="41" t="s">
        <v>146</v>
      </c>
      <c r="E215" s="158">
        <f>Input!D13</f>
        <v>1000</v>
      </c>
      <c r="F215" s="41"/>
      <c r="G215" s="41" t="s">
        <v>181</v>
      </c>
      <c r="H215" s="41"/>
      <c r="I215" s="39"/>
      <c r="J215" s="1"/>
      <c r="K215" s="1"/>
      <c r="L215" s="1"/>
      <c r="M215" s="1"/>
      <c r="N215" s="1"/>
      <c r="O215" s="1"/>
      <c r="P215" s="1"/>
      <c r="Q215" s="1"/>
      <c r="R215" s="1"/>
      <c r="S215" s="1"/>
      <c r="T215" s="1"/>
      <c r="U215" s="1"/>
      <c r="V215" s="1"/>
      <c r="W215" s="1"/>
      <c r="X215" s="1"/>
      <c r="Y215" s="1"/>
      <c r="Z215" s="1"/>
    </row>
    <row r="216" spans="1:26" ht="15.75" customHeight="1">
      <c r="A216" s="1"/>
      <c r="B216" s="1"/>
      <c r="C216" s="1"/>
      <c r="D216" s="2" t="s">
        <v>149</v>
      </c>
      <c r="E216" s="159">
        <f>ROUND(((E211+E212)/E213*(E214/100)/E215),4)</f>
        <v>1.05</v>
      </c>
      <c r="F216" s="2"/>
      <c r="G216" s="2" t="s">
        <v>150</v>
      </c>
      <c r="H216" s="2"/>
      <c r="I216" s="47"/>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57"/>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2" t="s">
        <v>240</v>
      </c>
      <c r="B218" s="1"/>
      <c r="C218" s="1"/>
      <c r="D218" s="1"/>
      <c r="E218" s="157"/>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57">
        <f>Input!E127</f>
        <v>2</v>
      </c>
      <c r="F219" s="1"/>
      <c r="G219" s="1" t="s">
        <v>241</v>
      </c>
      <c r="H219" s="1"/>
      <c r="I219" s="39"/>
      <c r="J219" s="1"/>
      <c r="K219" s="1"/>
      <c r="L219" s="1"/>
      <c r="M219" s="1"/>
      <c r="N219" s="1"/>
      <c r="O219" s="1"/>
      <c r="P219" s="1"/>
      <c r="Q219" s="1"/>
      <c r="R219" s="1"/>
      <c r="S219" s="1"/>
      <c r="T219" s="1"/>
      <c r="U219" s="1"/>
      <c r="V219" s="1"/>
      <c r="W219" s="1"/>
      <c r="X219" s="1"/>
      <c r="Y219" s="1"/>
      <c r="Z219" s="1"/>
    </row>
    <row r="220" spans="1:26" ht="15.75" customHeight="1">
      <c r="A220" s="1"/>
      <c r="B220" s="1"/>
      <c r="C220" s="1"/>
      <c r="D220" s="41" t="s">
        <v>144</v>
      </c>
      <c r="E220" s="158">
        <f>Input!E128</f>
        <v>20</v>
      </c>
      <c r="F220" s="1"/>
      <c r="G220" s="41" t="s">
        <v>71</v>
      </c>
      <c r="H220" s="41"/>
      <c r="I220" s="39"/>
      <c r="J220" s="1"/>
      <c r="K220" s="1"/>
      <c r="L220" s="1"/>
      <c r="M220" s="1"/>
      <c r="N220" s="1"/>
      <c r="O220" s="1"/>
      <c r="P220" s="1"/>
      <c r="Q220" s="1"/>
      <c r="R220" s="1"/>
      <c r="S220" s="1"/>
      <c r="T220" s="1"/>
      <c r="U220" s="1"/>
      <c r="V220" s="1"/>
      <c r="W220" s="1"/>
      <c r="X220" s="1"/>
      <c r="Y220" s="1"/>
      <c r="Z220" s="1"/>
    </row>
    <row r="221" spans="1:26" ht="15.75" customHeight="1">
      <c r="A221" s="1"/>
      <c r="B221" s="1"/>
      <c r="C221" s="1"/>
      <c r="D221" s="2" t="s">
        <v>149</v>
      </c>
      <c r="E221" s="159">
        <f>ROUND(E219*E220,4)</f>
        <v>40</v>
      </c>
      <c r="F221" s="2"/>
      <c r="G221" s="2" t="s">
        <v>150</v>
      </c>
      <c r="H221" s="2"/>
      <c r="I221" s="47"/>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57"/>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57"/>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57"/>
      <c r="F224" s="1"/>
      <c r="G224" s="1"/>
      <c r="H224" s="16"/>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57"/>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57"/>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57"/>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57"/>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57"/>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57"/>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57"/>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57"/>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57"/>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57"/>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57"/>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57"/>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57"/>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57"/>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57"/>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57"/>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57"/>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57"/>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57"/>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57"/>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57"/>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57"/>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57"/>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57"/>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57"/>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57"/>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57"/>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57"/>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57"/>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57"/>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57"/>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57"/>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57"/>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57"/>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57"/>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57"/>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57"/>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57"/>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57"/>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57"/>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57"/>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57"/>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57"/>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57"/>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57"/>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57"/>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57"/>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57"/>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57"/>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57"/>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57"/>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57"/>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57"/>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57"/>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57"/>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57"/>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57"/>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57"/>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57"/>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57"/>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57"/>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57"/>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57"/>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57"/>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57"/>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57"/>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57"/>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57"/>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57"/>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57"/>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57"/>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57"/>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57"/>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57"/>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57"/>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57"/>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57"/>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57"/>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57"/>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57"/>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57"/>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57"/>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57"/>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57"/>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57"/>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57"/>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57"/>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57"/>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57"/>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57"/>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57"/>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57"/>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57"/>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57"/>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57"/>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57"/>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57"/>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57"/>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57"/>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57"/>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57"/>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57"/>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57"/>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57"/>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57"/>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57"/>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57"/>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57"/>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57"/>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57"/>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57"/>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57"/>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57"/>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57"/>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57"/>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57"/>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57"/>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57"/>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57"/>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57"/>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57"/>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57"/>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57"/>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57"/>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57"/>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57"/>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57"/>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57"/>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57"/>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57"/>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57"/>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57"/>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57"/>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57"/>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57"/>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57"/>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57"/>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57"/>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57"/>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57"/>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57"/>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57"/>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57"/>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57"/>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57"/>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57"/>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57"/>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57"/>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57"/>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57"/>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57"/>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57"/>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57"/>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57"/>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57"/>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57"/>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57"/>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57"/>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57"/>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57"/>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57"/>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57"/>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57"/>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57"/>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57"/>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57"/>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57"/>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57"/>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57"/>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57"/>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57"/>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57"/>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57"/>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57"/>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57"/>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57"/>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57"/>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57"/>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57"/>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57"/>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57"/>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57"/>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57"/>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57"/>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57"/>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57"/>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57"/>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57"/>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57"/>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57"/>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57"/>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57"/>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57"/>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57"/>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57"/>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57"/>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57"/>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57"/>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57"/>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57"/>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57"/>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57"/>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57"/>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57"/>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57"/>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57"/>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57"/>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57"/>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57"/>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57"/>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57"/>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57"/>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57"/>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57"/>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57"/>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57"/>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57"/>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57"/>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57"/>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57"/>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57"/>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57"/>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57"/>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57"/>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57"/>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57"/>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57"/>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57"/>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57"/>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57"/>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57"/>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57"/>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57"/>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57"/>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57"/>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57"/>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57"/>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57"/>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57"/>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57"/>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57"/>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57"/>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57"/>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57"/>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57"/>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57"/>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57"/>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57"/>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57"/>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57"/>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57"/>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57"/>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57"/>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57"/>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57"/>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57"/>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57"/>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57"/>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57"/>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57"/>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57"/>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57"/>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57"/>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57"/>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57"/>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57"/>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57"/>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57"/>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57"/>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57"/>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57"/>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57"/>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57"/>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57"/>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57"/>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57"/>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57"/>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57"/>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57"/>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57"/>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57"/>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57"/>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57"/>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57"/>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57"/>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57"/>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57"/>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57"/>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57"/>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57"/>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57"/>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57"/>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57"/>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57"/>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57"/>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57"/>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57"/>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57"/>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57"/>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57"/>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57"/>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57"/>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57"/>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57"/>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57"/>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57"/>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57"/>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57"/>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57"/>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57"/>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57"/>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57"/>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57"/>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57"/>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57"/>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57"/>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57"/>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57"/>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57"/>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57"/>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57"/>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57"/>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57"/>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57"/>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57"/>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57"/>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57"/>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57"/>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57"/>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57"/>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57"/>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57"/>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57"/>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57"/>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57"/>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57"/>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57"/>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57"/>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57"/>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57"/>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57"/>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57"/>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57"/>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57"/>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57"/>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57"/>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57"/>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57"/>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57"/>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57"/>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57"/>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57"/>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57"/>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57"/>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57"/>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57"/>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57"/>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57"/>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57"/>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57"/>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57"/>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57"/>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57"/>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57"/>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57"/>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57"/>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57"/>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57"/>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57"/>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57"/>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57"/>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57"/>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57"/>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57"/>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57"/>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57"/>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57"/>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57"/>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57"/>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57"/>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57"/>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57"/>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57"/>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57"/>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57"/>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57"/>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57"/>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57"/>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57"/>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57"/>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57"/>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57"/>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57"/>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57"/>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57"/>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57"/>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57"/>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57"/>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57"/>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57"/>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57"/>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57"/>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57"/>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57"/>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57"/>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57"/>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57"/>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57"/>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57"/>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57"/>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57"/>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57"/>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57"/>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57"/>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57"/>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57"/>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57"/>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57"/>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57"/>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57"/>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57"/>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57"/>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57"/>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57"/>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57"/>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57"/>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57"/>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57"/>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57"/>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57"/>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57"/>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57"/>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57"/>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57"/>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57"/>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57"/>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57"/>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57"/>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57"/>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57"/>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57"/>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57"/>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57"/>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57"/>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57"/>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57"/>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57"/>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57"/>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57"/>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57"/>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57"/>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57"/>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57"/>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57"/>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57"/>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57"/>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57"/>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57"/>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57"/>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57"/>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57"/>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57"/>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57"/>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57"/>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57"/>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57"/>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57"/>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57"/>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57"/>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57"/>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57"/>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57"/>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57"/>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57"/>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57"/>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57"/>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57"/>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57"/>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57"/>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57"/>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57"/>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57"/>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57"/>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57"/>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57"/>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57"/>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57"/>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57"/>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57"/>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57"/>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57"/>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57"/>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57"/>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57"/>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57"/>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57"/>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57"/>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57"/>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57"/>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57"/>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57"/>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57"/>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57"/>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57"/>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57"/>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57"/>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57"/>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57"/>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57"/>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57"/>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57"/>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57"/>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57"/>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57"/>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57"/>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57"/>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57"/>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57"/>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57"/>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57"/>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57"/>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57"/>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57"/>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57"/>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57"/>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57"/>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57"/>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57"/>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57"/>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57"/>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57"/>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57"/>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57"/>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57"/>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57"/>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57"/>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57"/>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57"/>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57"/>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57"/>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57"/>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57"/>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57"/>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57"/>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57"/>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57"/>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57"/>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57"/>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57"/>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57"/>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57"/>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57"/>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57"/>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57"/>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57"/>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57"/>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57"/>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57"/>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57"/>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57"/>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57"/>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57"/>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57"/>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57"/>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57"/>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57"/>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57"/>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57"/>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57"/>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57"/>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57"/>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57"/>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57"/>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57"/>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57"/>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57"/>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57"/>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57"/>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57"/>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57"/>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57"/>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57"/>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57"/>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57"/>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57"/>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57"/>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57"/>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57"/>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57"/>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57"/>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57"/>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57"/>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57"/>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57"/>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57"/>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57"/>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57"/>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57"/>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57"/>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57"/>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57"/>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57"/>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57"/>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57"/>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57"/>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57"/>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57"/>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57"/>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57"/>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57"/>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57"/>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57"/>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57"/>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57"/>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57"/>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57"/>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57"/>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57"/>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57"/>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57"/>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57"/>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57"/>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57"/>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57"/>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57"/>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57"/>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57"/>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57"/>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57"/>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57"/>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57"/>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57"/>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57"/>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57"/>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57"/>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57"/>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57"/>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57"/>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57"/>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57"/>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57"/>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57"/>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57"/>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57"/>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57"/>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57"/>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57"/>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57"/>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57"/>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57"/>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57"/>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57"/>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57"/>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57"/>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57"/>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57"/>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57"/>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57"/>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57"/>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57"/>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57"/>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57"/>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57"/>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57"/>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57"/>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57"/>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57"/>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57"/>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57"/>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57"/>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57"/>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57"/>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57"/>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57"/>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57"/>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57"/>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57"/>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57"/>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57"/>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57"/>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57"/>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57"/>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57"/>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57"/>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57"/>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57"/>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57"/>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57"/>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57"/>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57"/>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57"/>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57"/>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57"/>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57"/>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57"/>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57"/>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57"/>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57"/>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57"/>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57"/>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57"/>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57"/>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57"/>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57"/>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57"/>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57"/>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57"/>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57"/>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57"/>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57"/>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57"/>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57"/>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57"/>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57"/>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57"/>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57"/>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57"/>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57"/>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57"/>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57"/>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57"/>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57"/>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57"/>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57"/>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57"/>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57"/>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57"/>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57"/>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57"/>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57"/>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57"/>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57"/>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57"/>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57"/>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57"/>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57"/>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57"/>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57"/>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57"/>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57"/>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57"/>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57"/>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57"/>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57"/>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57"/>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57"/>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57"/>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57"/>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57"/>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57"/>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57"/>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57"/>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57"/>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57"/>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57"/>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57"/>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57"/>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57"/>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57"/>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57"/>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57"/>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57"/>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57"/>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57"/>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57"/>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57"/>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57"/>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57"/>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57"/>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57"/>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57"/>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57"/>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57"/>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57"/>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57"/>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57"/>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4">
    <mergeCell ref="A1:I1"/>
    <mergeCell ref="B2:I2"/>
    <mergeCell ref="B160:I160"/>
    <mergeCell ref="E200:I200"/>
  </mergeCells>
  <pageMargins left="0.7" right="0.7" top="0.75" bottom="0.75" header="0" footer="0"/>
  <pageSetup orientation="landscape"/>
  <headerFooter>
    <oddHeader>&amp;LGuidelines: Feedlot Finishing Cattle Production Costs&amp;R&amp;P</oddHeader>
    <oddFooter>&amp;L &amp;RManitoba Agriculture, Food and Rural Development</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86C702-D900-4DEA-8B5C-71D1E5B3EC0A}">
  <sheetPr codeName="Sheet5"/>
  <dimension ref="A2:Z1000"/>
  <sheetViews>
    <sheetView showGridLines="0" zoomScale="94" workbookViewId="0">
      <selection activeCell="E48" sqref="E48"/>
    </sheetView>
  </sheetViews>
  <sheetFormatPr defaultColWidth="10.9140625" defaultRowHeight="15" customHeight="1"/>
  <cols>
    <col min="1" max="2" width="8.58203125" customWidth="1"/>
    <col min="3" max="3" width="10.9140625" customWidth="1"/>
    <col min="4" max="4" width="4.08203125" customWidth="1"/>
    <col min="5" max="5" width="10.9140625" customWidth="1"/>
    <col min="6" max="6" width="1.9140625" customWidth="1"/>
    <col min="7" max="7" width="8.58203125" customWidth="1"/>
    <col min="8" max="8" width="6.58203125" customWidth="1"/>
    <col min="9" max="9" width="6.08203125" customWidth="1"/>
    <col min="10" max="10" width="11.08203125" customWidth="1"/>
    <col min="11" max="26" width="8.58203125" customWidth="1"/>
  </cols>
  <sheetData>
    <row r="2" spans="1:10" ht="18" customHeight="1">
      <c r="A2" s="184" t="s">
        <v>242</v>
      </c>
      <c r="B2" s="178"/>
      <c r="C2" s="178"/>
      <c r="D2" s="178"/>
      <c r="E2" s="178"/>
      <c r="F2" s="178"/>
      <c r="G2" s="178"/>
      <c r="H2" s="178"/>
      <c r="I2" s="178"/>
      <c r="J2" s="178"/>
    </row>
    <row r="4" spans="1:10" ht="15.75" customHeight="1">
      <c r="A4" s="2" t="s">
        <v>243</v>
      </c>
      <c r="B4" s="1"/>
      <c r="C4" s="1"/>
      <c r="D4" s="1"/>
      <c r="E4" s="1"/>
      <c r="F4" s="1"/>
      <c r="G4" s="1"/>
      <c r="H4" s="1"/>
      <c r="I4" s="1"/>
      <c r="J4" s="38"/>
    </row>
    <row r="5" spans="1:10" ht="15.75" customHeight="1">
      <c r="A5" s="1"/>
      <c r="B5" s="2" t="s">
        <v>27</v>
      </c>
      <c r="C5" s="1"/>
      <c r="D5" s="1"/>
      <c r="E5" s="16">
        <f>Summary!F12</f>
        <v>49.605400000000003</v>
      </c>
      <c r="F5" s="7"/>
      <c r="G5" s="1" t="s">
        <v>244</v>
      </c>
      <c r="H5" s="1"/>
      <c r="I5" s="1"/>
      <c r="J5" s="39"/>
    </row>
    <row r="6" spans="1:10" ht="15.5">
      <c r="A6" s="1"/>
      <c r="B6" s="1"/>
      <c r="C6" s="1"/>
      <c r="D6" s="64" t="s">
        <v>146</v>
      </c>
      <c r="E6" s="46">
        <f>(Input!$D$17-(Input!$D$17*Input!$D$20/100))-(Input!$D$15-(Input!$D$15*Input!$D$21/100))</f>
        <v>233</v>
      </c>
      <c r="F6" s="65"/>
      <c r="G6" s="41" t="s">
        <v>245</v>
      </c>
      <c r="H6" s="1"/>
      <c r="I6" s="1"/>
      <c r="J6" s="39"/>
    </row>
    <row r="7" spans="1:10" ht="15.75" customHeight="1">
      <c r="A7" s="1"/>
      <c r="B7" s="1"/>
      <c r="C7" s="1"/>
      <c r="D7" s="62" t="s">
        <v>149</v>
      </c>
      <c r="E7" s="44">
        <f>E5/E6</f>
        <v>0.21289871244635195</v>
      </c>
      <c r="F7" s="53"/>
      <c r="G7" s="66" t="s">
        <v>41</v>
      </c>
      <c r="H7" s="1"/>
      <c r="I7" s="1"/>
      <c r="J7" s="39"/>
    </row>
    <row r="8" spans="1:10" ht="15.5">
      <c r="A8" s="1"/>
      <c r="B8" s="1"/>
      <c r="C8" s="1"/>
      <c r="D8" s="62"/>
      <c r="E8" s="1"/>
      <c r="F8" s="1"/>
      <c r="G8" s="1"/>
      <c r="H8" s="1"/>
      <c r="I8" s="1"/>
      <c r="J8" s="1"/>
    </row>
    <row r="9" spans="1:10" ht="15.75" customHeight="1">
      <c r="A9" s="1"/>
      <c r="B9" s="2" t="s">
        <v>246</v>
      </c>
      <c r="C9" s="1"/>
      <c r="D9" s="62"/>
      <c r="E9" s="16">
        <f>Summary!F26</f>
        <v>2074.9219000000003</v>
      </c>
      <c r="F9" s="7"/>
      <c r="G9" s="1" t="s">
        <v>247</v>
      </c>
      <c r="H9" s="1"/>
      <c r="I9" s="1"/>
      <c r="J9" s="39"/>
    </row>
    <row r="10" spans="1:10" ht="15.5">
      <c r="A10" s="1"/>
      <c r="B10" s="1"/>
      <c r="C10" s="1"/>
      <c r="D10" s="62" t="s">
        <v>211</v>
      </c>
      <c r="E10" s="16">
        <f>Details!$E$57</f>
        <v>1824</v>
      </c>
      <c r="F10" s="7"/>
      <c r="G10" s="1" t="s">
        <v>216</v>
      </c>
      <c r="H10" s="1"/>
      <c r="I10" s="1"/>
      <c r="J10" s="39"/>
    </row>
    <row r="11" spans="1:10" ht="15.5">
      <c r="A11" s="1"/>
      <c r="B11" s="1"/>
      <c r="C11" s="1"/>
      <c r="D11" s="64" t="s">
        <v>146</v>
      </c>
      <c r="E11" s="46">
        <f>(Input!$D$17-(Input!$D$17*Input!$D$20/100))-(Input!$D$15-(Input!$D$15*Input!$D$21/100))</f>
        <v>233</v>
      </c>
      <c r="F11" s="65"/>
      <c r="G11" s="41" t="s">
        <v>245</v>
      </c>
      <c r="H11" s="1"/>
      <c r="I11" s="1"/>
      <c r="J11" s="39"/>
    </row>
    <row r="12" spans="1:10" ht="15.75" customHeight="1">
      <c r="A12" s="1"/>
      <c r="B12" s="1"/>
      <c r="C12" s="1"/>
      <c r="D12" s="62" t="s">
        <v>149</v>
      </c>
      <c r="E12" s="44">
        <f>(E9-E10)/E11</f>
        <v>1.0769180257510742</v>
      </c>
      <c r="F12" s="53"/>
      <c r="G12" s="66" t="s">
        <v>41</v>
      </c>
      <c r="H12" s="1"/>
      <c r="I12" s="1"/>
      <c r="J12" s="39"/>
    </row>
    <row r="13" spans="1:10" ht="15.5">
      <c r="A13" s="1"/>
      <c r="B13" s="1"/>
      <c r="C13" s="1"/>
      <c r="D13" s="62"/>
      <c r="E13" s="1"/>
      <c r="F13" s="1"/>
      <c r="G13" s="1"/>
      <c r="H13" s="1"/>
      <c r="I13" s="1"/>
      <c r="J13" s="1"/>
    </row>
    <row r="14" spans="1:10" ht="15.75" customHeight="1">
      <c r="A14" s="1"/>
      <c r="B14" s="2" t="s">
        <v>248</v>
      </c>
      <c r="C14" s="1"/>
      <c r="D14" s="62"/>
      <c r="E14" s="16">
        <f>Summary!F26+Summary!F37</f>
        <v>2114.9219000000003</v>
      </c>
      <c r="F14" s="7"/>
      <c r="G14" s="1" t="s">
        <v>249</v>
      </c>
      <c r="H14" s="1"/>
      <c r="I14" s="1"/>
      <c r="J14" s="39"/>
    </row>
    <row r="15" spans="1:10" ht="15.5">
      <c r="A15" s="1"/>
      <c r="B15" s="1"/>
      <c r="C15" s="1"/>
      <c r="D15" s="62" t="s">
        <v>211</v>
      </c>
      <c r="E15" s="16">
        <f>Details!$E$57</f>
        <v>1824</v>
      </c>
      <c r="F15" s="7"/>
      <c r="G15" s="1" t="s">
        <v>216</v>
      </c>
      <c r="H15" s="1"/>
      <c r="I15" s="1"/>
      <c r="J15" s="39"/>
    </row>
    <row r="16" spans="1:10" ht="15.5">
      <c r="A16" s="1"/>
      <c r="B16" s="1"/>
      <c r="C16" s="1"/>
      <c r="D16" s="64" t="s">
        <v>146</v>
      </c>
      <c r="E16" s="46">
        <f>(Input!$D$17-(Input!$D$17*Input!$D$20/100))-(Input!$D$15-(Input!$D$15*Input!$D$21/100))</f>
        <v>233</v>
      </c>
      <c r="F16" s="65"/>
      <c r="G16" s="41" t="s">
        <v>245</v>
      </c>
      <c r="H16" s="1"/>
      <c r="I16" s="1"/>
      <c r="J16" s="39"/>
    </row>
    <row r="17" spans="1:10" ht="15.75" customHeight="1">
      <c r="A17" s="1"/>
      <c r="B17" s="1"/>
      <c r="C17" s="1"/>
      <c r="D17" s="62" t="s">
        <v>149</v>
      </c>
      <c r="E17" s="44">
        <f>(E14-E15)/E16</f>
        <v>1.2485918454935634</v>
      </c>
      <c r="F17" s="53"/>
      <c r="G17" s="66" t="s">
        <v>41</v>
      </c>
      <c r="H17" s="1"/>
      <c r="I17" s="1"/>
      <c r="J17" s="39"/>
    </row>
    <row r="18" spans="1:10" ht="15.5">
      <c r="A18" s="1"/>
      <c r="B18" s="1"/>
      <c r="C18" s="1"/>
      <c r="D18" s="62"/>
      <c r="E18" s="1"/>
      <c r="F18" s="1"/>
      <c r="G18" s="1"/>
      <c r="H18" s="1"/>
      <c r="I18" s="1"/>
      <c r="J18" s="1"/>
    </row>
    <row r="19" spans="1:10" ht="15.75" customHeight="1">
      <c r="A19" s="1"/>
      <c r="B19" s="2" t="s">
        <v>250</v>
      </c>
      <c r="C19" s="1"/>
      <c r="D19" s="62"/>
      <c r="E19" s="16">
        <f>Summary!F35</f>
        <v>2084.9559000000004</v>
      </c>
      <c r="F19" s="7"/>
      <c r="G19" s="1" t="s">
        <v>251</v>
      </c>
      <c r="H19" s="1"/>
      <c r="I19" s="1"/>
      <c r="J19" s="39"/>
    </row>
    <row r="20" spans="1:10" ht="15.5">
      <c r="A20" s="1"/>
      <c r="B20" s="1"/>
      <c r="C20" s="1"/>
      <c r="D20" s="62" t="s">
        <v>211</v>
      </c>
      <c r="E20" s="16">
        <f>Details!$E$57</f>
        <v>1824</v>
      </c>
      <c r="F20" s="7"/>
      <c r="G20" s="1" t="s">
        <v>216</v>
      </c>
      <c r="H20" s="1"/>
      <c r="I20" s="1"/>
      <c r="J20" s="39"/>
    </row>
    <row r="21" spans="1:10" ht="15.75" customHeight="1">
      <c r="A21" s="1"/>
      <c r="B21" s="1"/>
      <c r="C21" s="1"/>
      <c r="D21" s="64" t="s">
        <v>146</v>
      </c>
      <c r="E21" s="46">
        <f>(Input!$D$17-(Input!$D$17*Input!$D$20/100))-(Input!$D$15-(Input!$D$15*Input!$D$21/100))</f>
        <v>233</v>
      </c>
      <c r="F21" s="65"/>
      <c r="G21" s="41" t="s">
        <v>245</v>
      </c>
      <c r="H21" s="1"/>
      <c r="I21" s="1"/>
      <c r="J21" s="39"/>
    </row>
    <row r="22" spans="1:10" ht="15.75" customHeight="1">
      <c r="A22" s="1"/>
      <c r="B22" s="1"/>
      <c r="C22" s="1"/>
      <c r="D22" s="62" t="s">
        <v>149</v>
      </c>
      <c r="E22" s="44">
        <f>(E19-E20)/E21</f>
        <v>1.119982403433478</v>
      </c>
      <c r="F22" s="53"/>
      <c r="G22" s="66" t="s">
        <v>41</v>
      </c>
      <c r="H22" s="1"/>
      <c r="I22" s="1"/>
      <c r="J22" s="39"/>
    </row>
    <row r="23" spans="1:10" ht="15.75" customHeight="1">
      <c r="A23" s="1"/>
      <c r="B23" s="1"/>
      <c r="C23" s="1"/>
      <c r="D23" s="62"/>
      <c r="E23" s="1"/>
      <c r="F23" s="1"/>
      <c r="G23" s="1"/>
      <c r="H23" s="1"/>
      <c r="I23" s="1"/>
      <c r="J23" s="1"/>
    </row>
    <row r="24" spans="1:10" ht="15.75" customHeight="1">
      <c r="A24" s="1"/>
      <c r="B24" s="2" t="s">
        <v>252</v>
      </c>
      <c r="C24" s="1"/>
      <c r="D24" s="62"/>
      <c r="E24" s="16">
        <f>Summary!F38</f>
        <v>2124.9559000000004</v>
      </c>
      <c r="F24" s="7"/>
      <c r="G24" s="1" t="s">
        <v>253</v>
      </c>
      <c r="H24" s="1"/>
      <c r="I24" s="1"/>
      <c r="J24" s="39"/>
    </row>
    <row r="25" spans="1:10" ht="15.75" customHeight="1">
      <c r="A25" s="1"/>
      <c r="B25" s="1"/>
      <c r="C25" s="1"/>
      <c r="D25" s="62" t="s">
        <v>211</v>
      </c>
      <c r="E25" s="16">
        <f>Details!$E$57</f>
        <v>1824</v>
      </c>
      <c r="F25" s="7"/>
      <c r="G25" s="1" t="s">
        <v>216</v>
      </c>
      <c r="H25" s="1"/>
      <c r="I25" s="1"/>
      <c r="J25" s="39"/>
    </row>
    <row r="26" spans="1:10" ht="15.75" customHeight="1">
      <c r="A26" s="1"/>
      <c r="B26" s="1"/>
      <c r="C26" s="1"/>
      <c r="D26" s="64" t="s">
        <v>146</v>
      </c>
      <c r="E26" s="46">
        <f>(Input!$D$17-(Input!$D$17*Input!$D$20/100))-(Input!$D$15-(Input!$D$15*Input!$D$21/100))</f>
        <v>233</v>
      </c>
      <c r="F26" s="65"/>
      <c r="G26" s="41" t="s">
        <v>245</v>
      </c>
      <c r="H26" s="1"/>
      <c r="I26" s="1"/>
      <c r="J26" s="39"/>
    </row>
    <row r="27" spans="1:10" ht="15.75" customHeight="1">
      <c r="A27" s="1"/>
      <c r="B27" s="1"/>
      <c r="C27" s="1"/>
      <c r="D27" s="62" t="s">
        <v>149</v>
      </c>
      <c r="E27" s="44">
        <f>(E24-E25)/E26</f>
        <v>1.2916562231759674</v>
      </c>
      <c r="F27" s="53"/>
      <c r="G27" s="66" t="s">
        <v>41</v>
      </c>
      <c r="H27" s="1"/>
      <c r="I27" s="1"/>
      <c r="J27" s="39"/>
    </row>
    <row r="28" spans="1:10" ht="15.75" customHeight="1">
      <c r="A28" s="2" t="s">
        <v>254</v>
      </c>
      <c r="B28" s="1"/>
      <c r="C28" s="1"/>
      <c r="D28" s="1"/>
      <c r="E28" s="1"/>
      <c r="F28" s="1"/>
      <c r="G28" s="1"/>
      <c r="H28" s="1"/>
      <c r="I28" s="1"/>
      <c r="J28" s="1"/>
    </row>
    <row r="29" spans="1:10" ht="15.75" customHeight="1">
      <c r="A29" s="1"/>
      <c r="B29" s="2" t="s">
        <v>246</v>
      </c>
      <c r="C29" s="1"/>
      <c r="D29" s="62"/>
      <c r="E29" s="16">
        <f>Summary!F26</f>
        <v>2074.9219000000003</v>
      </c>
      <c r="F29" s="7"/>
      <c r="G29" s="1" t="s">
        <v>247</v>
      </c>
      <c r="H29" s="1"/>
      <c r="I29" s="1"/>
      <c r="J29" s="39"/>
    </row>
    <row r="30" spans="1:10" ht="15.75" customHeight="1">
      <c r="A30" s="1"/>
      <c r="B30" s="1"/>
      <c r="C30" s="1"/>
      <c r="D30" s="64" t="s">
        <v>146</v>
      </c>
      <c r="E30" s="46">
        <f>(Input!$D$17-(Input!$D$17*Input!$D$20/100))</f>
        <v>833</v>
      </c>
      <c r="F30" s="65"/>
      <c r="G30" s="41" t="s">
        <v>255</v>
      </c>
      <c r="H30" s="1"/>
      <c r="I30" s="1"/>
      <c r="J30" s="39"/>
    </row>
    <row r="31" spans="1:10" ht="15.75" customHeight="1">
      <c r="A31" s="1"/>
      <c r="B31" s="1"/>
      <c r="C31" s="1"/>
      <c r="D31" s="66" t="s">
        <v>149</v>
      </c>
      <c r="E31" s="44">
        <f>E29/E30</f>
        <v>2.4909026410564228</v>
      </c>
      <c r="F31" s="53"/>
      <c r="G31" s="66" t="s">
        <v>41</v>
      </c>
      <c r="H31" s="1"/>
      <c r="I31" s="1"/>
      <c r="J31" s="39"/>
    </row>
    <row r="32" spans="1:10" ht="15.75" customHeight="1">
      <c r="A32" s="1"/>
      <c r="D32" s="62"/>
      <c r="E32" s="1"/>
      <c r="F32" s="1"/>
      <c r="G32" s="1"/>
      <c r="H32" s="1"/>
      <c r="I32" s="1"/>
      <c r="J32" s="1"/>
    </row>
    <row r="33" spans="1:10" ht="15.75" customHeight="1">
      <c r="A33" s="1"/>
      <c r="B33" s="2" t="s">
        <v>256</v>
      </c>
      <c r="C33" s="1"/>
      <c r="D33" s="62"/>
      <c r="E33" s="16">
        <f>Summary!F37+Summary!F26</f>
        <v>2114.9219000000003</v>
      </c>
      <c r="F33" s="7"/>
      <c r="G33" s="1" t="s">
        <v>257</v>
      </c>
      <c r="H33" s="1"/>
      <c r="I33" s="1"/>
      <c r="J33" s="39"/>
    </row>
    <row r="34" spans="1:10" ht="15.75" customHeight="1">
      <c r="A34" s="1"/>
      <c r="B34" s="1"/>
      <c r="C34" s="1"/>
      <c r="D34" s="64" t="s">
        <v>146</v>
      </c>
      <c r="E34" s="46">
        <f>(Input!$D$17-(Input!$D$17*Input!$D$20/100))</f>
        <v>833</v>
      </c>
      <c r="F34" s="65"/>
      <c r="G34" s="41" t="s">
        <v>255</v>
      </c>
      <c r="H34" s="1"/>
      <c r="I34" s="1"/>
      <c r="J34" s="39"/>
    </row>
    <row r="35" spans="1:10" ht="15.75" customHeight="1">
      <c r="A35" s="1"/>
      <c r="B35" s="1"/>
      <c r="C35" s="1"/>
      <c r="D35" s="66" t="s">
        <v>149</v>
      </c>
      <c r="E35" s="44">
        <f>E33/E34</f>
        <v>2.5389218487394962</v>
      </c>
      <c r="F35" s="53"/>
      <c r="G35" s="66" t="s">
        <v>41</v>
      </c>
      <c r="H35" s="1"/>
      <c r="I35" s="1"/>
      <c r="J35" s="39"/>
    </row>
    <row r="36" spans="1:10" ht="15.75" customHeight="1">
      <c r="A36" s="1"/>
      <c r="D36" s="62"/>
      <c r="E36" s="1"/>
      <c r="F36" s="1"/>
      <c r="G36" s="1"/>
      <c r="H36" s="1"/>
      <c r="I36" s="1"/>
      <c r="J36" s="1"/>
    </row>
    <row r="37" spans="1:10" ht="15.75" customHeight="1">
      <c r="A37" s="1"/>
      <c r="B37" s="2" t="s">
        <v>258</v>
      </c>
      <c r="C37" s="1"/>
      <c r="D37" s="62"/>
      <c r="E37" s="16">
        <f>Summary!F35</f>
        <v>2084.9559000000004</v>
      </c>
      <c r="F37" s="7"/>
      <c r="G37" s="1" t="s">
        <v>259</v>
      </c>
      <c r="H37" s="1"/>
      <c r="I37" s="1"/>
      <c r="J37" s="39"/>
    </row>
    <row r="38" spans="1:10" ht="15.75" customHeight="1">
      <c r="A38" s="1"/>
      <c r="B38" s="1"/>
      <c r="C38" s="1"/>
      <c r="D38" s="64" t="s">
        <v>146</v>
      </c>
      <c r="E38" s="46">
        <f>(Input!$D$17-(Input!$D$17*Input!$D$20/100))</f>
        <v>833</v>
      </c>
      <c r="F38" s="65"/>
      <c r="G38" s="41" t="s">
        <v>255</v>
      </c>
      <c r="H38" s="1"/>
      <c r="I38" s="1"/>
      <c r="J38" s="39"/>
    </row>
    <row r="39" spans="1:10" ht="15.75" customHeight="1">
      <c r="A39" s="1"/>
      <c r="B39" s="1"/>
      <c r="C39" s="1"/>
      <c r="D39" s="66" t="s">
        <v>149</v>
      </c>
      <c r="E39" s="44">
        <f>E37/E38</f>
        <v>2.502948259303722</v>
      </c>
      <c r="F39" s="53"/>
      <c r="G39" s="66" t="s">
        <v>41</v>
      </c>
      <c r="H39" s="1"/>
      <c r="I39" s="1"/>
      <c r="J39" s="39"/>
    </row>
    <row r="40" spans="1:10" ht="15.75" customHeight="1">
      <c r="A40" s="1"/>
      <c r="B40" s="1"/>
      <c r="C40" s="1"/>
      <c r="D40" s="62"/>
      <c r="E40" s="1"/>
      <c r="F40" s="1"/>
      <c r="G40" s="1"/>
      <c r="H40" s="1"/>
      <c r="I40" s="1"/>
      <c r="J40" s="1"/>
    </row>
    <row r="41" spans="1:10" ht="15.75" customHeight="1">
      <c r="A41" s="1"/>
      <c r="B41" s="2" t="s">
        <v>252</v>
      </c>
      <c r="C41" s="1"/>
      <c r="D41" s="62"/>
      <c r="E41" s="16">
        <f>Summary!F38</f>
        <v>2124.9559000000004</v>
      </c>
      <c r="F41" s="7"/>
      <c r="G41" s="1" t="s">
        <v>260</v>
      </c>
      <c r="H41" s="1"/>
      <c r="I41" s="1"/>
      <c r="J41" s="39"/>
    </row>
    <row r="42" spans="1:10" ht="15.75" customHeight="1">
      <c r="A42" s="1"/>
      <c r="B42" s="1"/>
      <c r="C42" s="1"/>
      <c r="D42" s="64" t="s">
        <v>146</v>
      </c>
      <c r="E42" s="46">
        <f>(Input!$D$17-(Input!$D$17*Input!$D$20/100))</f>
        <v>833</v>
      </c>
      <c r="F42" s="65"/>
      <c r="G42" s="41" t="s">
        <v>255</v>
      </c>
      <c r="H42" s="1"/>
      <c r="I42" s="1"/>
      <c r="J42" s="39"/>
    </row>
    <row r="43" spans="1:10" ht="15.75" customHeight="1">
      <c r="A43" s="1"/>
      <c r="B43" s="1"/>
      <c r="C43" s="1"/>
      <c r="D43" s="66" t="s">
        <v>149</v>
      </c>
      <c r="E43" s="44">
        <f>E41/E42</f>
        <v>2.550967466986795</v>
      </c>
      <c r="F43" s="53"/>
      <c r="G43" s="66" t="s">
        <v>41</v>
      </c>
      <c r="H43" s="1"/>
      <c r="I43" s="1"/>
      <c r="J43" s="39"/>
    </row>
    <row r="44" spans="1:10" ht="15.75" customHeight="1">
      <c r="A44" s="1"/>
      <c r="B44" s="1"/>
      <c r="C44" s="1"/>
      <c r="D44" s="66"/>
      <c r="E44" s="44"/>
      <c r="F44" s="53"/>
      <c r="G44" s="66"/>
      <c r="H44" s="1"/>
      <c r="I44" s="1"/>
      <c r="J44" s="1"/>
    </row>
    <row r="45" spans="1:10" ht="15.75" customHeight="1">
      <c r="A45" s="2" t="s">
        <v>261</v>
      </c>
      <c r="B45" s="1"/>
      <c r="C45" s="1"/>
      <c r="D45" s="66"/>
      <c r="E45" s="44"/>
      <c r="F45" s="53"/>
      <c r="G45" s="66"/>
      <c r="H45" s="1"/>
      <c r="I45" s="1"/>
      <c r="J45" s="1"/>
    </row>
    <row r="46" spans="1:10" ht="15.75" customHeight="1">
      <c r="A46" s="1"/>
      <c r="B46" s="2" t="s">
        <v>246</v>
      </c>
      <c r="C46" s="1"/>
      <c r="D46" s="66"/>
      <c r="E46" s="21">
        <f>(Input!$D$17-(Input!$D$17*Input!$D$20/100))</f>
        <v>833</v>
      </c>
      <c r="F46" s="53"/>
      <c r="G46" s="1" t="s">
        <v>255</v>
      </c>
      <c r="H46" s="1"/>
      <c r="I46" s="1"/>
      <c r="J46" s="39"/>
    </row>
    <row r="47" spans="1:10" ht="15.75" customHeight="1">
      <c r="A47" s="1"/>
      <c r="B47" s="1"/>
      <c r="C47" s="1"/>
      <c r="D47" s="67" t="s">
        <v>144</v>
      </c>
      <c r="E47" s="16">
        <f>Input!$D$18</f>
        <v>277</v>
      </c>
      <c r="F47" s="53"/>
      <c r="G47" s="62" t="s">
        <v>262</v>
      </c>
      <c r="H47" s="1"/>
      <c r="I47" s="1"/>
      <c r="J47" s="39"/>
    </row>
    <row r="48" spans="1:10" ht="15.75" customHeight="1">
      <c r="A48" s="1"/>
      <c r="B48" s="1"/>
      <c r="C48" s="1"/>
      <c r="D48" s="67" t="s">
        <v>149</v>
      </c>
      <c r="E48" s="16">
        <f>(E46*E47)/100</f>
        <v>2307.41</v>
      </c>
      <c r="F48" s="7"/>
      <c r="G48" s="62" t="s">
        <v>263</v>
      </c>
      <c r="H48" s="1"/>
      <c r="I48" s="1"/>
      <c r="J48" s="39"/>
    </row>
    <row r="49" spans="1:10" ht="15.75" customHeight="1">
      <c r="A49" s="1"/>
      <c r="B49" s="1"/>
      <c r="C49" s="1"/>
      <c r="D49" s="67" t="s">
        <v>211</v>
      </c>
      <c r="E49" s="16">
        <f>Summary!F26-Details!E57</f>
        <v>250.92190000000028</v>
      </c>
      <c r="F49" s="53"/>
      <c r="G49" s="62" t="s">
        <v>264</v>
      </c>
      <c r="H49" s="1"/>
      <c r="I49" s="1"/>
      <c r="J49" s="39"/>
    </row>
    <row r="50" spans="1:10" ht="15.75" customHeight="1">
      <c r="A50" s="1"/>
      <c r="B50" s="1"/>
      <c r="C50" s="1"/>
      <c r="D50" s="68" t="s">
        <v>146</v>
      </c>
      <c r="E50" s="46">
        <f>Input!$D$15-(Input!$D$15*(Input!$D$21/100))</f>
        <v>600</v>
      </c>
      <c r="F50" s="69"/>
      <c r="G50" s="64" t="s">
        <v>265</v>
      </c>
      <c r="H50" s="1"/>
      <c r="I50" s="1"/>
      <c r="J50" s="39"/>
    </row>
    <row r="51" spans="1:10" ht="15.75" customHeight="1">
      <c r="A51" s="1"/>
      <c r="B51" s="1"/>
      <c r="C51" s="1"/>
      <c r="D51" s="13" t="s">
        <v>149</v>
      </c>
      <c r="E51" s="44">
        <f>(E48-E49)/E50</f>
        <v>3.4274801666666659</v>
      </c>
      <c r="F51" s="53"/>
      <c r="G51" s="66" t="s">
        <v>41</v>
      </c>
      <c r="H51" s="1"/>
      <c r="I51" s="1"/>
      <c r="J51" s="60"/>
    </row>
    <row r="52" spans="1:10" ht="15.75" customHeight="1">
      <c r="A52" s="1"/>
      <c r="B52" s="1"/>
      <c r="C52" s="1"/>
      <c r="D52" s="66"/>
      <c r="E52" s="44"/>
      <c r="F52" s="53"/>
      <c r="G52" s="66"/>
      <c r="H52" s="1"/>
      <c r="I52" s="1"/>
      <c r="J52" s="1"/>
    </row>
    <row r="53" spans="1:10" ht="15.75" customHeight="1">
      <c r="A53" s="1"/>
      <c r="B53" s="2" t="s">
        <v>256</v>
      </c>
      <c r="C53" s="1"/>
      <c r="D53" s="66"/>
      <c r="E53" s="21">
        <f>(Input!$D$17-(Input!$D$17*Input!$D$20/100))</f>
        <v>833</v>
      </c>
      <c r="F53" s="53"/>
      <c r="G53" s="1" t="s">
        <v>255</v>
      </c>
      <c r="H53" s="1"/>
      <c r="I53" s="1"/>
      <c r="J53" s="39"/>
    </row>
    <row r="54" spans="1:10" ht="15.75" customHeight="1">
      <c r="A54" s="1"/>
      <c r="B54" s="1"/>
      <c r="C54" s="1"/>
      <c r="D54" s="67" t="s">
        <v>144</v>
      </c>
      <c r="E54" s="16">
        <f>Input!$D$18</f>
        <v>277</v>
      </c>
      <c r="F54" s="53"/>
      <c r="G54" s="62" t="s">
        <v>262</v>
      </c>
      <c r="H54" s="1"/>
      <c r="I54" s="1"/>
      <c r="J54" s="39"/>
    </row>
    <row r="55" spans="1:10" ht="15.75" customHeight="1">
      <c r="A55" s="1"/>
      <c r="B55" s="1"/>
      <c r="C55" s="1"/>
      <c r="D55" s="67" t="s">
        <v>149</v>
      </c>
      <c r="E55" s="16">
        <f>(E53*E54)/100</f>
        <v>2307.41</v>
      </c>
      <c r="F55" s="53"/>
      <c r="G55" s="62" t="s">
        <v>263</v>
      </c>
      <c r="H55" s="1"/>
      <c r="I55" s="1"/>
      <c r="J55" s="39"/>
    </row>
    <row r="56" spans="1:10" ht="15.75" customHeight="1">
      <c r="A56" s="1"/>
      <c r="B56" s="1"/>
      <c r="C56" s="1"/>
      <c r="D56" s="67" t="s">
        <v>211</v>
      </c>
      <c r="E56" s="16">
        <f>(Summary!F26+Summary!F37)-Details!E57</f>
        <v>290.92190000000028</v>
      </c>
      <c r="F56" s="53"/>
      <c r="G56" s="62" t="s">
        <v>266</v>
      </c>
      <c r="H56" s="1"/>
      <c r="I56" s="1"/>
      <c r="J56" s="39"/>
    </row>
    <row r="57" spans="1:10" ht="15.75" customHeight="1">
      <c r="A57" s="1"/>
      <c r="B57" s="1"/>
      <c r="C57" s="1"/>
      <c r="D57" s="68" t="s">
        <v>146</v>
      </c>
      <c r="E57" s="46">
        <f>Input!$D$15-(Input!$D$15*(Input!$D$21/100))</f>
        <v>600</v>
      </c>
      <c r="F57" s="53"/>
      <c r="G57" s="64" t="s">
        <v>267</v>
      </c>
      <c r="H57" s="1"/>
      <c r="I57" s="1"/>
      <c r="J57" s="39"/>
    </row>
    <row r="58" spans="1:10" ht="15.75" customHeight="1">
      <c r="A58" s="1"/>
      <c r="B58" s="1"/>
      <c r="C58" s="1"/>
      <c r="D58" s="13" t="s">
        <v>149</v>
      </c>
      <c r="E58" s="44">
        <f>(E55-E56)/E57</f>
        <v>3.3608134999999995</v>
      </c>
      <c r="F58" s="53"/>
      <c r="G58" s="66" t="s">
        <v>41</v>
      </c>
      <c r="H58" s="1"/>
      <c r="I58" s="1"/>
      <c r="J58" s="60"/>
    </row>
    <row r="59" spans="1:10" ht="15.75" customHeight="1">
      <c r="A59" s="1"/>
      <c r="B59" s="1"/>
      <c r="C59" s="1"/>
      <c r="D59" s="66"/>
      <c r="E59" s="44"/>
      <c r="F59" s="53"/>
      <c r="G59" s="66"/>
      <c r="H59" s="1"/>
      <c r="I59" s="1"/>
      <c r="J59" s="1"/>
    </row>
    <row r="60" spans="1:10" ht="15.75" customHeight="1">
      <c r="A60" s="1"/>
      <c r="B60" s="2" t="s">
        <v>258</v>
      </c>
      <c r="C60" s="1"/>
      <c r="D60" s="66"/>
      <c r="E60" s="21">
        <f>(Input!$D$17-(Input!$D$17*Input!$D$20/100))</f>
        <v>833</v>
      </c>
      <c r="F60" s="53"/>
      <c r="G60" s="1" t="s">
        <v>255</v>
      </c>
      <c r="H60" s="1"/>
      <c r="I60" s="1"/>
      <c r="J60" s="39"/>
    </row>
    <row r="61" spans="1:10" ht="15.75" customHeight="1">
      <c r="A61" s="1"/>
      <c r="B61" s="1"/>
      <c r="C61" s="1"/>
      <c r="D61" s="67" t="s">
        <v>144</v>
      </c>
      <c r="E61" s="16">
        <f>Input!$D$18</f>
        <v>277</v>
      </c>
      <c r="F61" s="53"/>
      <c r="G61" s="62" t="s">
        <v>262</v>
      </c>
      <c r="H61" s="1"/>
      <c r="I61" s="1"/>
      <c r="J61" s="39"/>
    </row>
    <row r="62" spans="1:10" ht="15.75" customHeight="1">
      <c r="A62" s="1"/>
      <c r="B62" s="1"/>
      <c r="C62" s="1"/>
      <c r="D62" s="67" t="s">
        <v>149</v>
      </c>
      <c r="E62" s="16">
        <f>(E60*E61)/100</f>
        <v>2307.41</v>
      </c>
      <c r="F62" s="53"/>
      <c r="G62" s="62" t="s">
        <v>263</v>
      </c>
      <c r="H62" s="1"/>
      <c r="I62" s="1"/>
      <c r="J62" s="39"/>
    </row>
    <row r="63" spans="1:10" ht="15.75" customHeight="1">
      <c r="A63" s="1"/>
      <c r="B63" s="1"/>
      <c r="C63" s="1"/>
      <c r="D63" s="67" t="s">
        <v>211</v>
      </c>
      <c r="E63" s="16">
        <f>Summary!F35-Details!E57</f>
        <v>260.95590000000038</v>
      </c>
      <c r="F63" s="53"/>
      <c r="G63" s="62" t="s">
        <v>268</v>
      </c>
      <c r="H63" s="1"/>
      <c r="I63" s="1"/>
      <c r="J63" s="39"/>
    </row>
    <row r="64" spans="1:10" ht="15.75" customHeight="1">
      <c r="A64" s="1"/>
      <c r="B64" s="1"/>
      <c r="C64" s="1"/>
      <c r="D64" s="68" t="s">
        <v>146</v>
      </c>
      <c r="E64" s="46">
        <f>Input!$D$15-(Input!$D$15*(Input!$D$21/100))</f>
        <v>600</v>
      </c>
      <c r="F64" s="53"/>
      <c r="G64" s="64" t="s">
        <v>267</v>
      </c>
      <c r="H64" s="1"/>
      <c r="I64" s="1"/>
      <c r="J64" s="39"/>
    </row>
    <row r="65" spans="1:26" ht="15.75" customHeight="1">
      <c r="A65" s="1"/>
      <c r="B65" s="1"/>
      <c r="C65" s="1"/>
      <c r="D65" s="13" t="s">
        <v>149</v>
      </c>
      <c r="E65" s="44">
        <f>(E62-E63)/E64</f>
        <v>3.4107568333333322</v>
      </c>
      <c r="F65" s="53"/>
      <c r="G65" s="66" t="s">
        <v>41</v>
      </c>
      <c r="H65" s="1"/>
      <c r="I65" s="1"/>
      <c r="J65" s="60"/>
    </row>
    <row r="66" spans="1:26" ht="15.75" customHeight="1">
      <c r="A66" s="1"/>
      <c r="B66" s="1"/>
      <c r="C66" s="1"/>
      <c r="D66" s="66"/>
      <c r="E66" s="44"/>
      <c r="F66" s="53"/>
      <c r="G66" s="64"/>
      <c r="H66" s="1"/>
      <c r="I66" s="1"/>
      <c r="J66" s="1"/>
    </row>
    <row r="67" spans="1:26" ht="15.75" customHeight="1">
      <c r="A67" s="1"/>
      <c r="B67" s="2" t="s">
        <v>252</v>
      </c>
      <c r="C67" s="1"/>
      <c r="D67" s="66"/>
      <c r="E67" s="21">
        <f>(Input!$D$17-(Input!$D$17*Input!$D$20/100))</f>
        <v>833</v>
      </c>
      <c r="F67" s="53"/>
      <c r="G67" s="1" t="s">
        <v>255</v>
      </c>
      <c r="H67" s="1"/>
      <c r="I67" s="1"/>
      <c r="J67" s="39"/>
    </row>
    <row r="68" spans="1:26" ht="15.75" customHeight="1">
      <c r="A68" s="1"/>
      <c r="B68" s="1"/>
      <c r="C68" s="1"/>
      <c r="D68" s="67" t="s">
        <v>144</v>
      </c>
      <c r="E68" s="16">
        <f>Input!$D$18</f>
        <v>277</v>
      </c>
      <c r="F68" s="53"/>
      <c r="G68" s="62" t="s">
        <v>262</v>
      </c>
      <c r="H68" s="1"/>
      <c r="I68" s="1"/>
      <c r="J68" s="39"/>
    </row>
    <row r="69" spans="1:26" ht="15.75" customHeight="1">
      <c r="A69" s="1"/>
      <c r="B69" s="1"/>
      <c r="C69" s="1"/>
      <c r="D69" s="67" t="s">
        <v>149</v>
      </c>
      <c r="E69" s="16">
        <f>(E67*E68)/100</f>
        <v>2307.41</v>
      </c>
      <c r="F69" s="53"/>
      <c r="G69" s="62" t="s">
        <v>263</v>
      </c>
      <c r="H69" s="1"/>
      <c r="I69" s="1"/>
      <c r="J69" s="39"/>
    </row>
    <row r="70" spans="1:26" ht="15.75" customHeight="1">
      <c r="A70" s="1"/>
      <c r="B70" s="1"/>
      <c r="C70" s="1"/>
      <c r="D70" s="67" t="s">
        <v>211</v>
      </c>
      <c r="E70" s="16">
        <f>Summary!F38-Details!E57</f>
        <v>300.95590000000038</v>
      </c>
      <c r="F70" s="53"/>
      <c r="G70" s="62" t="s">
        <v>269</v>
      </c>
      <c r="H70" s="1"/>
      <c r="I70" s="1"/>
      <c r="J70" s="39"/>
    </row>
    <row r="71" spans="1:26" ht="15.75" customHeight="1">
      <c r="A71" s="1"/>
      <c r="B71" s="1"/>
      <c r="C71" s="1"/>
      <c r="D71" s="68" t="s">
        <v>146</v>
      </c>
      <c r="E71" s="46">
        <f>Input!$D$15-(Input!$D$15*(Input!$D$21/100))</f>
        <v>600</v>
      </c>
      <c r="F71" s="53"/>
      <c r="G71" s="64" t="s">
        <v>267</v>
      </c>
      <c r="H71" s="1"/>
      <c r="I71" s="1"/>
      <c r="J71" s="39"/>
    </row>
    <row r="72" spans="1:26" ht="15.75" customHeight="1">
      <c r="A72" s="1"/>
      <c r="B72" s="1"/>
      <c r="C72" s="1"/>
      <c r="D72" s="13" t="s">
        <v>149</v>
      </c>
      <c r="E72" s="44">
        <f>(E69-E70)/E71</f>
        <v>3.3440901666666658</v>
      </c>
      <c r="F72" s="53"/>
      <c r="G72" s="66" t="s">
        <v>41</v>
      </c>
      <c r="H72" s="1"/>
      <c r="I72" s="1"/>
      <c r="J72" s="39"/>
    </row>
    <row r="73" spans="1:26" ht="15.75" customHeight="1">
      <c r="A73" s="70"/>
      <c r="B73" s="19"/>
      <c r="C73" s="19"/>
      <c r="D73" s="19"/>
      <c r="E73" s="45"/>
      <c r="F73" s="44"/>
      <c r="G73" s="45"/>
      <c r="H73" s="45"/>
      <c r="I73" s="19"/>
      <c r="J73" s="19"/>
      <c r="K73" s="70"/>
      <c r="L73" s="70"/>
      <c r="M73" s="70"/>
      <c r="N73" s="70"/>
      <c r="O73" s="70"/>
      <c r="P73" s="70"/>
      <c r="Q73" s="70"/>
      <c r="R73" s="70"/>
      <c r="S73" s="70"/>
      <c r="T73" s="70"/>
      <c r="U73" s="70"/>
      <c r="V73" s="70"/>
      <c r="W73" s="70"/>
      <c r="X73" s="70"/>
      <c r="Y73" s="70"/>
      <c r="Z73" s="70"/>
    </row>
    <row r="74" spans="1:26" ht="18" customHeight="1">
      <c r="A74" s="45"/>
      <c r="B74" s="45"/>
      <c r="C74" s="45"/>
      <c r="D74" s="45"/>
      <c r="E74" s="71"/>
      <c r="F74" s="72"/>
      <c r="G74" s="72"/>
      <c r="H74" s="72"/>
      <c r="I74" s="73"/>
      <c r="J74" s="72"/>
      <c r="K74" s="40"/>
      <c r="L74" s="40"/>
      <c r="M74" s="40"/>
      <c r="N74" s="40"/>
      <c r="O74" s="74"/>
      <c r="P74" s="16"/>
      <c r="Q74" s="16"/>
      <c r="R74" s="40"/>
      <c r="S74" s="40"/>
      <c r="T74" s="40"/>
      <c r="U74" s="40"/>
      <c r="V74" s="40"/>
      <c r="W74" s="40"/>
      <c r="X74" s="40"/>
      <c r="Y74" s="40"/>
      <c r="Z74" s="40"/>
    </row>
    <row r="75" spans="1:26" ht="21" customHeight="1">
      <c r="A75" s="75"/>
      <c r="B75" s="76"/>
      <c r="C75" s="77"/>
      <c r="D75" s="77"/>
      <c r="E75" s="77"/>
      <c r="F75" s="78"/>
      <c r="G75" s="40"/>
      <c r="H75" s="40"/>
      <c r="I75" s="40"/>
      <c r="J75" s="40"/>
      <c r="K75" s="40"/>
      <c r="L75" s="40"/>
      <c r="M75" s="40"/>
      <c r="N75" s="40"/>
      <c r="O75" s="74"/>
      <c r="P75" s="16"/>
      <c r="Q75" s="16"/>
      <c r="R75" s="40"/>
      <c r="S75" s="40"/>
      <c r="T75" s="40"/>
      <c r="U75" s="40"/>
      <c r="V75" s="40"/>
      <c r="W75" s="40"/>
      <c r="X75" s="40"/>
      <c r="Y75" s="40"/>
      <c r="Z75" s="40"/>
    </row>
    <row r="76" spans="1:26" ht="15.75" customHeight="1">
      <c r="A76" s="79"/>
      <c r="B76" s="80"/>
      <c r="C76" s="80"/>
      <c r="D76" s="80"/>
      <c r="E76" s="81"/>
      <c r="F76" s="80"/>
      <c r="G76" s="80"/>
      <c r="H76" s="80"/>
      <c r="I76" s="82"/>
      <c r="J76" s="80"/>
      <c r="K76" s="80"/>
      <c r="L76" s="80"/>
      <c r="M76" s="80"/>
      <c r="N76" s="80"/>
      <c r="O76" s="80"/>
      <c r="P76" s="80"/>
      <c r="Q76" s="80"/>
      <c r="R76" s="80"/>
      <c r="S76" s="80"/>
      <c r="T76" s="80"/>
      <c r="U76" s="80"/>
      <c r="V76" s="80"/>
      <c r="W76" s="80"/>
      <c r="X76" s="80"/>
      <c r="Y76" s="80"/>
      <c r="Z76" s="80"/>
    </row>
    <row r="77" spans="1:26" ht="14.25" customHeight="1">
      <c r="A77" s="83"/>
      <c r="B77" s="84"/>
      <c r="C77" s="84"/>
      <c r="D77" s="84"/>
      <c r="E77" s="83"/>
      <c r="F77" s="84"/>
      <c r="G77" s="84"/>
      <c r="H77" s="84"/>
      <c r="I77" s="83"/>
      <c r="J77" s="84"/>
      <c r="K77" s="84"/>
      <c r="L77" s="84"/>
      <c r="M77" s="84"/>
      <c r="N77" s="84"/>
      <c r="O77" s="84"/>
      <c r="P77" s="84"/>
      <c r="Q77" s="84"/>
      <c r="R77" s="84"/>
      <c r="S77" s="84"/>
      <c r="T77" s="84"/>
      <c r="U77" s="84"/>
      <c r="V77" s="84"/>
      <c r="W77" s="84"/>
      <c r="X77" s="84"/>
      <c r="Y77" s="84"/>
      <c r="Z77" s="84"/>
    </row>
    <row r="78" spans="1:26" ht="7.5" customHeight="1">
      <c r="A78" s="84"/>
      <c r="B78" s="84"/>
      <c r="C78" s="84"/>
      <c r="D78" s="84"/>
      <c r="E78" s="83"/>
      <c r="F78" s="84"/>
      <c r="G78" s="84"/>
      <c r="H78" s="84"/>
      <c r="I78" s="84"/>
      <c r="J78" s="84"/>
      <c r="K78" s="84"/>
      <c r="L78" s="84"/>
      <c r="M78" s="84"/>
      <c r="N78" s="84"/>
      <c r="O78" s="84"/>
      <c r="P78" s="84"/>
      <c r="Q78" s="84"/>
      <c r="R78" s="84"/>
      <c r="S78" s="84"/>
      <c r="T78" s="84"/>
      <c r="U78" s="84"/>
      <c r="V78" s="84"/>
      <c r="W78" s="84"/>
      <c r="X78" s="84"/>
      <c r="Y78" s="84"/>
      <c r="Z78" s="84"/>
    </row>
    <row r="79" spans="1:26" ht="15.75" customHeight="1">
      <c r="A79" s="85"/>
      <c r="B79" s="86"/>
      <c r="C79" s="86"/>
      <c r="D79" s="86"/>
      <c r="E79" s="85"/>
      <c r="F79" s="86"/>
      <c r="G79" s="86"/>
      <c r="H79" s="86"/>
      <c r="I79" s="86"/>
      <c r="J79" s="86"/>
      <c r="K79" s="86"/>
      <c r="L79" s="86"/>
      <c r="M79" s="86"/>
      <c r="N79" s="86"/>
      <c r="O79" s="86"/>
      <c r="P79" s="86"/>
      <c r="Q79" s="86"/>
      <c r="R79" s="86"/>
      <c r="S79" s="86"/>
      <c r="T79" s="86"/>
      <c r="U79" s="86"/>
      <c r="V79" s="86"/>
      <c r="W79" s="86"/>
      <c r="X79" s="86"/>
      <c r="Y79" s="86"/>
      <c r="Z79" s="86"/>
    </row>
    <row r="80" spans="1:26" ht="14.25" customHeight="1">
      <c r="A80" s="83"/>
      <c r="B80" s="83"/>
      <c r="C80" s="83"/>
      <c r="D80" s="83"/>
      <c r="E80" s="87"/>
      <c r="F80" s="83"/>
      <c r="G80" s="83"/>
      <c r="H80" s="83"/>
      <c r="I80" s="83"/>
      <c r="J80" s="83"/>
      <c r="K80" s="83"/>
      <c r="L80" s="83"/>
      <c r="M80" s="83"/>
      <c r="N80" s="83"/>
      <c r="O80" s="83"/>
      <c r="P80" s="83"/>
      <c r="Q80" s="83"/>
      <c r="R80" s="83"/>
      <c r="S80" s="83"/>
      <c r="T80" s="83"/>
      <c r="U80" s="83"/>
      <c r="V80" s="83"/>
      <c r="W80" s="83"/>
      <c r="X80" s="83"/>
      <c r="Y80" s="83"/>
      <c r="Z80" s="83"/>
    </row>
    <row r="81" spans="1:26" ht="7.5" customHeight="1">
      <c r="A81" s="80"/>
      <c r="B81" s="88"/>
      <c r="C81" s="80"/>
      <c r="D81" s="84"/>
      <c r="E81" s="84"/>
      <c r="F81" s="84"/>
      <c r="G81" s="84"/>
      <c r="H81" s="84"/>
      <c r="I81" s="84"/>
      <c r="J81" s="84"/>
      <c r="K81" s="88"/>
      <c r="L81" s="88"/>
      <c r="M81" s="88"/>
      <c r="N81" s="88"/>
      <c r="O81" s="88"/>
      <c r="P81" s="88"/>
      <c r="Q81" s="88"/>
      <c r="R81" s="88"/>
      <c r="S81" s="88"/>
      <c r="T81" s="88"/>
      <c r="U81" s="88"/>
      <c r="V81" s="88"/>
      <c r="W81" s="88"/>
      <c r="X81" s="88"/>
      <c r="Y81" s="88"/>
      <c r="Z81" s="88"/>
    </row>
    <row r="82" spans="1:26" ht="15.75" customHeight="1">
      <c r="A82" s="89"/>
      <c r="B82" s="89"/>
      <c r="C82" s="80"/>
      <c r="D82" s="80"/>
      <c r="E82" s="79"/>
      <c r="F82" s="90"/>
      <c r="G82" s="80"/>
      <c r="H82" s="80"/>
      <c r="I82" s="80"/>
      <c r="J82" s="80"/>
      <c r="K82" s="89"/>
      <c r="L82" s="89"/>
      <c r="M82" s="89"/>
      <c r="N82" s="89"/>
      <c r="O82" s="89"/>
      <c r="P82" s="89"/>
      <c r="Q82" s="89"/>
      <c r="R82" s="89"/>
      <c r="S82" s="89"/>
      <c r="T82" s="89"/>
      <c r="U82" s="89"/>
      <c r="V82" s="89"/>
      <c r="W82" s="89"/>
      <c r="X82" s="89"/>
      <c r="Y82" s="89"/>
      <c r="Z82" s="89"/>
    </row>
    <row r="83" spans="1:26" ht="15.75" customHeight="1">
      <c r="A83" s="88"/>
      <c r="B83" s="88"/>
      <c r="C83" s="87"/>
      <c r="D83" s="87"/>
      <c r="E83" s="87"/>
      <c r="F83" s="87"/>
      <c r="G83" s="87"/>
      <c r="H83" s="87"/>
      <c r="I83" s="87"/>
      <c r="J83" s="84"/>
      <c r="K83" s="88"/>
      <c r="L83" s="88"/>
      <c r="M83" s="88"/>
      <c r="N83" s="88"/>
      <c r="O83" s="88"/>
      <c r="P83" s="88"/>
      <c r="Q83" s="88"/>
      <c r="R83" s="88"/>
      <c r="S83" s="88"/>
      <c r="T83" s="88"/>
      <c r="U83" s="88"/>
      <c r="V83" s="88"/>
      <c r="W83" s="88"/>
      <c r="X83" s="88"/>
      <c r="Y83" s="88"/>
      <c r="Z83" s="88"/>
    </row>
    <row r="84" spans="1:26" ht="16.5" customHeight="1">
      <c r="A84" s="45"/>
      <c r="B84" s="40"/>
      <c r="C84" s="45"/>
      <c r="D84" s="45"/>
      <c r="E84" s="45"/>
      <c r="F84" s="40"/>
      <c r="G84" s="40"/>
      <c r="H84" s="40"/>
      <c r="I84" s="40"/>
      <c r="J84" s="91"/>
      <c r="K84" s="40"/>
      <c r="L84" s="40"/>
      <c r="M84" s="40"/>
      <c r="N84" s="40"/>
      <c r="O84" s="40"/>
      <c r="P84" s="40"/>
      <c r="Q84" s="40"/>
      <c r="R84" s="40"/>
      <c r="S84" s="40"/>
      <c r="T84" s="40"/>
      <c r="U84" s="40"/>
      <c r="V84" s="40"/>
      <c r="W84" s="40"/>
      <c r="X84" s="40"/>
      <c r="Y84" s="40"/>
      <c r="Z84" s="40"/>
    </row>
    <row r="85" spans="1:26" ht="15.75" customHeight="1">
      <c r="A85" s="81"/>
      <c r="B85" s="86"/>
      <c r="C85" s="86"/>
      <c r="D85" s="85"/>
      <c r="E85" s="86"/>
      <c r="F85" s="86"/>
      <c r="G85" s="86"/>
      <c r="H85" s="86"/>
      <c r="I85" s="86"/>
      <c r="J85" s="86"/>
      <c r="K85" s="86"/>
      <c r="L85" s="86"/>
      <c r="M85" s="86"/>
      <c r="N85" s="86"/>
      <c r="O85" s="86"/>
      <c r="P85" s="86"/>
      <c r="Q85" s="86"/>
      <c r="R85" s="86"/>
      <c r="S85" s="86"/>
      <c r="T85" s="86"/>
      <c r="U85" s="86"/>
      <c r="V85" s="86"/>
      <c r="W85" s="86"/>
      <c r="X85" s="86"/>
      <c r="Y85" s="86"/>
      <c r="Z85" s="86"/>
    </row>
    <row r="86" spans="1:26" ht="14.25" customHeight="1">
      <c r="A86" s="87"/>
      <c r="B86" s="83"/>
      <c r="C86" s="83"/>
      <c r="D86" s="83"/>
      <c r="E86" s="83"/>
      <c r="F86" s="83"/>
      <c r="G86" s="83"/>
      <c r="H86" s="83"/>
      <c r="I86" s="83"/>
      <c r="J86" s="83"/>
      <c r="K86" s="83"/>
      <c r="L86" s="83"/>
      <c r="M86" s="83"/>
      <c r="N86" s="83"/>
      <c r="O86" s="83"/>
      <c r="P86" s="83"/>
      <c r="Q86" s="83"/>
      <c r="R86" s="83"/>
      <c r="S86" s="83"/>
      <c r="T86" s="83"/>
      <c r="U86" s="83"/>
      <c r="V86" s="83"/>
      <c r="W86" s="83"/>
      <c r="X86" s="83"/>
      <c r="Y86" s="83"/>
      <c r="Z86" s="83"/>
    </row>
    <row r="87" spans="1:26" ht="7.5" customHeight="1">
      <c r="A87" s="80"/>
      <c r="B87" s="80"/>
      <c r="C87" s="84"/>
      <c r="D87" s="84"/>
      <c r="E87" s="84"/>
      <c r="F87" s="84"/>
      <c r="G87" s="84"/>
      <c r="H87" s="84"/>
      <c r="I87" s="84"/>
      <c r="J87" s="88"/>
      <c r="K87" s="88"/>
      <c r="L87" s="88"/>
      <c r="M87" s="88"/>
      <c r="N87" s="88"/>
      <c r="O87" s="88"/>
      <c r="P87" s="88"/>
      <c r="Q87" s="88"/>
      <c r="R87" s="88"/>
      <c r="S87" s="88"/>
      <c r="T87" s="88"/>
      <c r="U87" s="88"/>
      <c r="V87" s="88"/>
      <c r="W87" s="88"/>
      <c r="X87" s="88"/>
      <c r="Y87" s="88"/>
      <c r="Z87" s="88"/>
    </row>
    <row r="88" spans="1:26" ht="15.75" customHeight="1">
      <c r="A88" s="85"/>
      <c r="B88" s="80"/>
      <c r="C88" s="80"/>
      <c r="D88" s="79"/>
      <c r="E88" s="90"/>
      <c r="F88" s="80"/>
      <c r="G88" s="80"/>
      <c r="H88" s="80"/>
      <c r="I88" s="80"/>
      <c r="J88" s="89"/>
      <c r="K88" s="89"/>
      <c r="L88" s="89"/>
      <c r="M88" s="89"/>
      <c r="N88" s="89"/>
      <c r="O88" s="89"/>
      <c r="P88" s="89"/>
      <c r="Q88" s="89"/>
      <c r="R88" s="89"/>
      <c r="S88" s="89"/>
      <c r="T88" s="89"/>
      <c r="U88" s="89"/>
      <c r="V88" s="89"/>
      <c r="W88" s="89"/>
      <c r="X88" s="89"/>
      <c r="Y88" s="89"/>
      <c r="Z88" s="89"/>
    </row>
    <row r="89" spans="1:26" ht="15.75" customHeight="1">
      <c r="A89" s="87"/>
      <c r="B89" s="87"/>
      <c r="C89" s="87"/>
      <c r="D89" s="87"/>
      <c r="E89" s="87"/>
      <c r="F89" s="87"/>
      <c r="G89" s="87"/>
      <c r="H89" s="87"/>
      <c r="I89" s="84"/>
      <c r="J89" s="88"/>
      <c r="K89" s="88"/>
      <c r="L89" s="88"/>
      <c r="M89" s="88"/>
      <c r="N89" s="88"/>
      <c r="O89" s="88"/>
      <c r="P89" s="88"/>
      <c r="Q89" s="88"/>
      <c r="R89" s="88"/>
      <c r="S89" s="88"/>
      <c r="T89" s="88"/>
      <c r="U89" s="88"/>
      <c r="V89" s="88"/>
      <c r="W89" s="88"/>
      <c r="X89" s="88"/>
      <c r="Y89" s="88"/>
      <c r="Z89" s="88"/>
    </row>
    <row r="90" spans="1:26" ht="15.75" customHeight="1">
      <c r="A90" s="5"/>
      <c r="B90" s="5"/>
      <c r="C90" s="5"/>
      <c r="D90" s="5"/>
      <c r="E90" s="5"/>
      <c r="F90" s="5"/>
      <c r="G90" s="5"/>
      <c r="H90" s="5"/>
      <c r="I90" s="5"/>
      <c r="J90" s="5"/>
      <c r="K90" s="5"/>
      <c r="L90" s="5"/>
      <c r="M90" s="5"/>
      <c r="N90" s="5"/>
      <c r="O90" s="5"/>
      <c r="P90" s="5"/>
      <c r="Q90" s="5"/>
      <c r="R90" s="5"/>
      <c r="S90" s="5"/>
      <c r="T90" s="5"/>
      <c r="U90" s="5"/>
      <c r="V90" s="5"/>
      <c r="W90" s="5"/>
      <c r="X90" s="5"/>
      <c r="Y90" s="5"/>
      <c r="Z90" s="5"/>
    </row>
    <row r="91" spans="1:26" ht="15.75" customHeight="1"/>
    <row r="92" spans="1:26" ht="15.75" customHeight="1"/>
    <row r="93" spans="1:26" ht="15.75" customHeight="1"/>
    <row r="94" spans="1:26" ht="15.75" customHeight="1"/>
    <row r="95" spans="1:26" ht="15.75" customHeight="1"/>
    <row r="96" spans="1:2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2:J2"/>
  </mergeCells>
  <pageMargins left="0.7" right="0.7" top="0.75" bottom="0.75" header="0" footer="0"/>
  <pageSetup orientation="landscape"/>
  <headerFooter>
    <oddHeader>&amp;LGuidelines:Feedlot Finishing Cattle Production Costs&amp;R&amp;P</oddHeader>
    <oddFooter>&amp;RManitoba Agriculture, Food and Rural Development</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D72E3-253D-4830-8347-66508E38EEE7}">
  <sheetPr codeName="Sheet2"/>
  <dimension ref="A1:Y1000"/>
  <sheetViews>
    <sheetView showGridLines="0" zoomScale="85" workbookViewId="0">
      <pane xSplit="5" ySplit="5" topLeftCell="F7" activePane="bottomRight" state="frozen"/>
      <selection pane="topRight" activeCell="B40" sqref="B40:K42"/>
      <selection pane="bottomLeft" activeCell="B40" sqref="B40:K42"/>
      <selection pane="bottomRight" activeCell="F16" sqref="F16"/>
    </sheetView>
  </sheetViews>
  <sheetFormatPr defaultColWidth="10.9140625" defaultRowHeight="15" customHeight="1"/>
  <cols>
    <col min="1" max="3" width="9.58203125" customWidth="1"/>
    <col min="4" max="4" width="2.9140625" customWidth="1"/>
    <col min="5" max="5" width="7.4140625" customWidth="1"/>
    <col min="6" max="6" width="15.08203125" customWidth="1"/>
    <col min="7" max="7" width="7.08203125" customWidth="1"/>
    <col min="8" max="8" width="13.9140625" customWidth="1"/>
    <col min="9" max="11" width="15.4140625" customWidth="1"/>
    <col min="12" max="12" width="15.58203125" customWidth="1"/>
    <col min="13" max="25" width="8.58203125" customWidth="1"/>
  </cols>
  <sheetData>
    <row r="1" spans="1:25" ht="15.5">
      <c r="A1" s="1"/>
      <c r="B1" s="1"/>
      <c r="C1" s="1"/>
      <c r="D1" s="1"/>
      <c r="E1" s="1"/>
      <c r="F1" s="1"/>
      <c r="G1" s="1"/>
      <c r="H1" s="1"/>
      <c r="I1" s="1"/>
      <c r="J1" s="1"/>
      <c r="K1" s="1"/>
      <c r="L1" s="1"/>
      <c r="M1" s="1"/>
      <c r="N1" s="1"/>
      <c r="O1" s="1"/>
      <c r="P1" s="1"/>
      <c r="Q1" s="1"/>
      <c r="R1" s="1"/>
      <c r="S1" s="1"/>
      <c r="T1" s="1"/>
      <c r="U1" s="1"/>
      <c r="V1" s="1"/>
      <c r="W1" s="1"/>
      <c r="X1" s="1"/>
      <c r="Y1" s="1"/>
    </row>
    <row r="2" spans="1:25" ht="18" customHeight="1">
      <c r="A2" s="185" t="s">
        <v>383</v>
      </c>
      <c r="B2" s="178"/>
      <c r="C2" s="178"/>
      <c r="D2" s="178"/>
      <c r="E2" s="178"/>
      <c r="F2" s="178"/>
      <c r="G2" s="178"/>
      <c r="H2" s="178"/>
      <c r="I2" s="178"/>
      <c r="J2" s="1"/>
      <c r="K2" s="1"/>
      <c r="L2" s="1"/>
      <c r="M2" s="1"/>
      <c r="N2" s="1"/>
      <c r="O2" s="1"/>
      <c r="P2" s="1"/>
      <c r="Q2" s="1"/>
      <c r="R2" s="1"/>
      <c r="S2" s="1"/>
      <c r="T2" s="1"/>
      <c r="U2" s="1"/>
      <c r="V2" s="1"/>
      <c r="W2" s="1"/>
      <c r="X2" s="1"/>
      <c r="Y2" s="1"/>
    </row>
    <row r="3" spans="1:25" ht="18" customHeight="1">
      <c r="A3" s="177" t="str">
        <f>"Based on feeding "&amp;Input!D13&amp;" steers for weight range "&amp;Input!D15&amp;" to "&amp;Input!D17&amp;" lbs."</f>
        <v>Based on feeding 1000 steers for weight range 600 to 850 lbs.</v>
      </c>
      <c r="B3" s="178"/>
      <c r="C3" s="178"/>
      <c r="D3" s="178"/>
      <c r="E3" s="178"/>
      <c r="F3" s="178"/>
      <c r="G3" s="178"/>
      <c r="H3" s="178"/>
      <c r="I3" s="178"/>
      <c r="J3" s="1"/>
      <c r="K3" s="1"/>
      <c r="L3" s="1"/>
      <c r="M3" s="1"/>
      <c r="N3" s="1"/>
      <c r="O3" s="1"/>
      <c r="P3" s="1"/>
      <c r="Q3" s="1"/>
      <c r="R3" s="1"/>
      <c r="S3" s="1"/>
      <c r="T3" s="1"/>
      <c r="U3" s="1"/>
      <c r="V3" s="1"/>
      <c r="W3" s="1"/>
      <c r="X3" s="1"/>
      <c r="Y3" s="1"/>
    </row>
    <row r="4" spans="1:25" ht="7.5" customHeight="1">
      <c r="A4" s="92"/>
      <c r="B4" s="92"/>
      <c r="C4" s="92"/>
      <c r="D4" s="92"/>
      <c r="E4" s="92"/>
      <c r="F4" s="92"/>
      <c r="G4" s="92"/>
      <c r="H4" s="92"/>
      <c r="I4" s="92"/>
      <c r="J4" s="1"/>
      <c r="K4" s="1"/>
      <c r="L4" s="1"/>
      <c r="M4" s="1"/>
      <c r="N4" s="1"/>
      <c r="O4" s="1"/>
      <c r="P4" s="1"/>
      <c r="Q4" s="1"/>
      <c r="R4" s="1"/>
      <c r="S4" s="1"/>
      <c r="T4" s="1"/>
      <c r="U4" s="1"/>
      <c r="V4" s="1"/>
      <c r="W4" s="1"/>
      <c r="X4" s="1"/>
      <c r="Y4" s="1"/>
    </row>
    <row r="5" spans="1:25" ht="15.75" customHeight="1">
      <c r="A5" s="186"/>
      <c r="B5" s="186"/>
      <c r="C5" s="186"/>
      <c r="D5" s="186"/>
      <c r="E5" s="186"/>
      <c r="F5" s="4" t="s">
        <v>270</v>
      </c>
      <c r="G5" s="93"/>
      <c r="H5" s="149">
        <v>2021</v>
      </c>
      <c r="I5" s="149">
        <v>2022</v>
      </c>
      <c r="J5" s="150">
        <v>2023</v>
      </c>
      <c r="K5" s="150">
        <v>2024</v>
      </c>
      <c r="L5" s="150">
        <v>2025</v>
      </c>
      <c r="M5" s="27"/>
      <c r="N5" s="27"/>
      <c r="O5" s="27"/>
      <c r="P5" s="27"/>
      <c r="Q5" s="27"/>
      <c r="R5" s="1"/>
      <c r="S5" s="1"/>
      <c r="T5" s="1"/>
      <c r="U5" s="1"/>
      <c r="V5" s="1"/>
      <c r="W5" s="1"/>
      <c r="X5" s="1"/>
      <c r="Y5" s="1"/>
    </row>
    <row r="6" spans="1:25" ht="15.75" customHeight="1">
      <c r="A6" s="2" t="s">
        <v>139</v>
      </c>
      <c r="B6" s="1"/>
      <c r="C6" s="1"/>
      <c r="D6" s="1"/>
      <c r="E6" s="1"/>
      <c r="F6" s="1"/>
      <c r="G6" s="1"/>
      <c r="H6" s="1"/>
      <c r="I6" s="1"/>
      <c r="J6" s="1"/>
      <c r="K6" s="1"/>
      <c r="L6" s="1"/>
      <c r="M6" s="1"/>
      <c r="N6" s="1"/>
      <c r="O6" s="1"/>
      <c r="P6" s="1"/>
      <c r="Q6" s="1"/>
      <c r="R6" s="1"/>
      <c r="S6" s="1"/>
      <c r="T6" s="1"/>
      <c r="U6" s="1"/>
      <c r="V6" s="1"/>
      <c r="W6" s="1"/>
      <c r="X6" s="1"/>
      <c r="Y6" s="1"/>
    </row>
    <row r="7" spans="1:25" ht="15.75" customHeight="1">
      <c r="A7" s="2" t="s">
        <v>30</v>
      </c>
      <c r="B7" s="1"/>
      <c r="C7" s="1"/>
      <c r="D7" s="1"/>
      <c r="E7" s="1"/>
      <c r="F7" s="1" t="s">
        <v>271</v>
      </c>
      <c r="G7" s="1"/>
      <c r="H7" s="139">
        <v>1.02</v>
      </c>
      <c r="I7" s="139">
        <v>1.07</v>
      </c>
      <c r="J7" s="139">
        <v>0.98</v>
      </c>
      <c r="K7" s="139">
        <v>1.05</v>
      </c>
      <c r="L7" s="139">
        <v>1.03</v>
      </c>
      <c r="M7" s="1"/>
      <c r="N7" s="1"/>
      <c r="O7" s="1"/>
      <c r="P7" s="1"/>
      <c r="Q7" s="1"/>
      <c r="R7" s="1"/>
      <c r="S7" s="1"/>
      <c r="T7" s="1"/>
      <c r="U7" s="1"/>
      <c r="V7" s="1"/>
      <c r="W7" s="1"/>
      <c r="X7" s="1"/>
      <c r="Y7" s="1"/>
    </row>
    <row r="8" spans="1:25" ht="15.5">
      <c r="A8" s="1" t="s">
        <v>272</v>
      </c>
      <c r="B8" s="1"/>
      <c r="C8" s="1"/>
      <c r="D8" s="1"/>
      <c r="E8" s="1"/>
      <c r="F8" s="16">
        <f>Details!E19</f>
        <v>0</v>
      </c>
      <c r="G8" s="1"/>
      <c r="H8" s="49">
        <f>ROUND(F8*Input!$D$13,0)</f>
        <v>0</v>
      </c>
      <c r="I8" s="1">
        <f>H8*$H$7</f>
        <v>0</v>
      </c>
      <c r="J8" s="1">
        <f>I8*$I$7</f>
        <v>0</v>
      </c>
      <c r="K8" s="1">
        <f>J8*$J$7</f>
        <v>0</v>
      </c>
      <c r="L8" s="1">
        <f>K8*$K$7</f>
        <v>0</v>
      </c>
      <c r="M8" s="1"/>
      <c r="N8" s="138"/>
      <c r="O8" s="138"/>
      <c r="P8" s="138"/>
      <c r="Q8" s="138"/>
      <c r="R8" s="1"/>
      <c r="S8" s="1"/>
      <c r="T8" s="1"/>
      <c r="U8" s="1"/>
      <c r="V8" s="1"/>
      <c r="W8" s="1"/>
      <c r="X8" s="1"/>
      <c r="Y8" s="1"/>
    </row>
    <row r="9" spans="1:25" ht="15.5">
      <c r="A9" s="1" t="s">
        <v>273</v>
      </c>
      <c r="B9" s="1"/>
      <c r="C9" s="1"/>
      <c r="D9" s="1"/>
      <c r="E9" s="1"/>
      <c r="F9" s="16">
        <f>Details!E26</f>
        <v>36</v>
      </c>
      <c r="G9" s="1"/>
      <c r="H9" s="49">
        <f>ROUND(F9*Input!$D$13,0)</f>
        <v>36000</v>
      </c>
      <c r="I9" s="1">
        <f t="shared" ref="I9:I26" si="0">H9*$H$7</f>
        <v>36720</v>
      </c>
      <c r="J9" s="1">
        <f t="shared" ref="J9:J26" si="1">I9*$I$7</f>
        <v>39290.400000000001</v>
      </c>
      <c r="K9" s="1">
        <f t="shared" ref="K9:K26" si="2">J9*$J$7</f>
        <v>38504.592000000004</v>
      </c>
      <c r="L9" s="1">
        <f t="shared" ref="L9:L26" si="3">K9*$K$7</f>
        <v>40429.821600000003</v>
      </c>
      <c r="M9" s="1"/>
      <c r="N9" s="1"/>
      <c r="O9" s="1"/>
      <c r="P9" s="1"/>
      <c r="Q9" s="1"/>
      <c r="R9" s="1"/>
      <c r="S9" s="1"/>
      <c r="T9" s="1"/>
      <c r="U9" s="1"/>
      <c r="V9" s="1"/>
      <c r="W9" s="1"/>
      <c r="X9" s="1"/>
      <c r="Y9" s="1"/>
    </row>
    <row r="10" spans="1:25" ht="15.5">
      <c r="A10" s="1" t="s">
        <v>274</v>
      </c>
      <c r="B10" s="1"/>
      <c r="C10" s="1"/>
      <c r="D10" s="1"/>
      <c r="E10" s="1"/>
      <c r="F10" s="16">
        <f>Details!E33</f>
        <v>0</v>
      </c>
      <c r="G10" s="1"/>
      <c r="H10" s="49">
        <f>ROUND(F10*Input!$D$13,0)</f>
        <v>0</v>
      </c>
      <c r="I10" s="1">
        <f t="shared" si="0"/>
        <v>0</v>
      </c>
      <c r="J10" s="1">
        <f t="shared" si="1"/>
        <v>0</v>
      </c>
      <c r="K10" s="1">
        <f t="shared" si="2"/>
        <v>0</v>
      </c>
      <c r="L10" s="1">
        <f t="shared" si="3"/>
        <v>0</v>
      </c>
      <c r="M10" s="1"/>
      <c r="N10" s="1"/>
      <c r="O10" s="1"/>
      <c r="P10" s="1"/>
      <c r="Q10" s="1"/>
      <c r="R10" s="1"/>
      <c r="S10" s="1"/>
      <c r="T10" s="1"/>
      <c r="U10" s="1"/>
      <c r="V10" s="1"/>
      <c r="W10" s="1"/>
      <c r="X10" s="1"/>
      <c r="Y10" s="1"/>
    </row>
    <row r="11" spans="1:25" ht="15.5">
      <c r="A11" s="1" t="s">
        <v>275</v>
      </c>
      <c r="B11" s="1"/>
      <c r="C11" s="1"/>
      <c r="D11" s="1"/>
      <c r="E11" s="1"/>
      <c r="F11" s="42">
        <f>Details!E40</f>
        <v>13.605399999999999</v>
      </c>
      <c r="G11" s="41"/>
      <c r="H11" s="57">
        <f>ROUND(F11*Input!$D$13,0)</f>
        <v>13605</v>
      </c>
      <c r="I11" s="1">
        <f t="shared" si="0"/>
        <v>13877.1</v>
      </c>
      <c r="J11" s="1">
        <f t="shared" si="1"/>
        <v>14848.497000000001</v>
      </c>
      <c r="K11" s="1">
        <f t="shared" si="2"/>
        <v>14551.52706</v>
      </c>
      <c r="L11" s="1">
        <f t="shared" si="3"/>
        <v>15279.103413000001</v>
      </c>
      <c r="M11" s="1"/>
      <c r="N11" s="1"/>
      <c r="O11" s="1"/>
      <c r="P11" s="1"/>
      <c r="Q11" s="1"/>
      <c r="R11" s="1"/>
      <c r="S11" s="1"/>
      <c r="T11" s="1"/>
      <c r="U11" s="1"/>
      <c r="V11" s="1"/>
      <c r="W11" s="1"/>
      <c r="X11" s="1"/>
      <c r="Y11" s="1"/>
    </row>
    <row r="12" spans="1:25" ht="15.75" customHeight="1">
      <c r="A12" s="2" t="s">
        <v>276</v>
      </c>
      <c r="B12" s="1"/>
      <c r="C12" s="1"/>
      <c r="D12" s="1"/>
      <c r="E12" s="1"/>
      <c r="F12" s="44">
        <f>SUM(F8:F11)</f>
        <v>49.605400000000003</v>
      </c>
      <c r="G12" s="1"/>
      <c r="H12" s="59">
        <f>SUM(H8:H11)</f>
        <v>49605</v>
      </c>
      <c r="I12" s="2">
        <f t="shared" si="0"/>
        <v>50597.1</v>
      </c>
      <c r="J12" s="1">
        <f t="shared" si="1"/>
        <v>54138.897000000004</v>
      </c>
      <c r="K12" s="1">
        <f t="shared" si="2"/>
        <v>53056.119060000005</v>
      </c>
      <c r="L12" s="1">
        <f t="shared" si="3"/>
        <v>55708.925013000007</v>
      </c>
      <c r="M12" s="1"/>
      <c r="N12" s="1"/>
      <c r="O12" s="1"/>
      <c r="P12" s="1"/>
      <c r="Q12" s="1"/>
      <c r="R12" s="1"/>
      <c r="S12" s="1"/>
      <c r="T12" s="1"/>
      <c r="U12" s="1"/>
      <c r="V12" s="1"/>
      <c r="W12" s="1"/>
      <c r="X12" s="1"/>
      <c r="Y12" s="1"/>
    </row>
    <row r="13" spans="1:25" ht="15.75" customHeight="1">
      <c r="A13" s="2" t="s">
        <v>277</v>
      </c>
      <c r="B13" s="1"/>
      <c r="C13" s="1"/>
      <c r="D13" s="1"/>
      <c r="E13" s="1"/>
      <c r="F13" s="16"/>
      <c r="G13" s="1"/>
      <c r="H13" s="49"/>
      <c r="I13" s="1">
        <f t="shared" si="0"/>
        <v>0</v>
      </c>
      <c r="J13" s="1">
        <f t="shared" si="1"/>
        <v>0</v>
      </c>
      <c r="K13" s="1">
        <f t="shared" si="2"/>
        <v>0</v>
      </c>
      <c r="L13" s="1">
        <f t="shared" si="3"/>
        <v>0</v>
      </c>
      <c r="M13" s="1"/>
      <c r="N13" s="1"/>
      <c r="O13" s="1"/>
      <c r="P13" s="1"/>
      <c r="Q13" s="1"/>
      <c r="R13" s="1"/>
      <c r="S13" s="1"/>
      <c r="T13" s="1"/>
      <c r="U13" s="1"/>
      <c r="V13" s="1"/>
      <c r="W13" s="1"/>
      <c r="X13" s="1"/>
      <c r="Y13" s="1"/>
    </row>
    <row r="14" spans="1:25" ht="15.5">
      <c r="A14" s="1" t="s">
        <v>278</v>
      </c>
      <c r="B14" s="1"/>
      <c r="C14" s="1"/>
      <c r="D14" s="1"/>
      <c r="E14" s="1"/>
      <c r="F14" s="16">
        <f>Details!E59</f>
        <v>1835.2</v>
      </c>
      <c r="G14" s="1"/>
      <c r="H14" s="49">
        <f>ROUND(F14*Input!$D$13,0)</f>
        <v>1835200</v>
      </c>
      <c r="I14" s="1">
        <f t="shared" si="0"/>
        <v>1871904</v>
      </c>
      <c r="J14" s="1">
        <f t="shared" si="1"/>
        <v>2002937.28</v>
      </c>
      <c r="K14" s="1">
        <f t="shared" si="2"/>
        <v>1962878.5344</v>
      </c>
      <c r="L14" s="1">
        <f t="shared" si="3"/>
        <v>2061022.4611200001</v>
      </c>
      <c r="M14" s="1"/>
      <c r="N14" s="1"/>
      <c r="O14" s="1"/>
      <c r="P14" s="1"/>
      <c r="Q14" s="1"/>
      <c r="R14" s="1"/>
      <c r="S14" s="1"/>
      <c r="T14" s="1"/>
      <c r="U14" s="1"/>
      <c r="V14" s="1"/>
      <c r="W14" s="1"/>
      <c r="X14" s="1"/>
      <c r="Y14" s="1"/>
    </row>
    <row r="15" spans="1:25" ht="15.5">
      <c r="A15" s="1" t="s">
        <v>279</v>
      </c>
      <c r="B15" s="1"/>
      <c r="C15" s="1"/>
      <c r="D15" s="1"/>
      <c r="E15" s="1"/>
      <c r="F15" s="16">
        <f>Details!E64</f>
        <v>27.5</v>
      </c>
      <c r="G15" s="1"/>
      <c r="H15" s="49">
        <f>ROUND(F15*Input!$D$13,0)</f>
        <v>27500</v>
      </c>
      <c r="I15" s="1">
        <f t="shared" si="0"/>
        <v>28050</v>
      </c>
      <c r="J15" s="1">
        <f t="shared" si="1"/>
        <v>30013.5</v>
      </c>
      <c r="K15" s="1">
        <f t="shared" si="2"/>
        <v>29413.23</v>
      </c>
      <c r="L15" s="1">
        <f t="shared" si="3"/>
        <v>30883.891500000002</v>
      </c>
      <c r="M15" s="1"/>
      <c r="N15" s="1"/>
      <c r="O15" s="1"/>
      <c r="P15" s="1"/>
      <c r="Q15" s="1"/>
      <c r="R15" s="1"/>
      <c r="S15" s="1"/>
      <c r="T15" s="1"/>
      <c r="U15" s="1"/>
      <c r="V15" s="1"/>
      <c r="W15" s="1"/>
      <c r="X15" s="1"/>
      <c r="Y15" s="1"/>
    </row>
    <row r="16" spans="1:25" ht="15.5">
      <c r="A16" s="1" t="s">
        <v>280</v>
      </c>
      <c r="B16" s="1"/>
      <c r="C16" s="1"/>
      <c r="D16" s="1"/>
      <c r="E16" s="1"/>
      <c r="F16" s="16">
        <f>Details!E89</f>
        <v>10.83</v>
      </c>
      <c r="G16" s="1"/>
      <c r="H16" s="49">
        <f>ROUND(F16*Input!$D$13,0)</f>
        <v>10830</v>
      </c>
      <c r="I16" s="1">
        <f t="shared" si="0"/>
        <v>11046.6</v>
      </c>
      <c r="J16" s="1">
        <f t="shared" si="1"/>
        <v>11819.862000000001</v>
      </c>
      <c r="K16" s="1">
        <f t="shared" si="2"/>
        <v>11583.464760000001</v>
      </c>
      <c r="L16" s="1">
        <f t="shared" si="3"/>
        <v>12162.637998000002</v>
      </c>
      <c r="M16" s="1"/>
      <c r="N16" s="1"/>
      <c r="O16" s="1"/>
      <c r="P16" s="1"/>
      <c r="Q16" s="1"/>
      <c r="R16" s="1"/>
      <c r="S16" s="1"/>
      <c r="T16" s="1"/>
      <c r="U16" s="1"/>
      <c r="V16" s="1"/>
      <c r="W16" s="1"/>
      <c r="X16" s="1"/>
      <c r="Y16" s="1"/>
    </row>
    <row r="17" spans="1:25" ht="15.5">
      <c r="A17" s="1" t="s">
        <v>281</v>
      </c>
      <c r="B17" s="1"/>
      <c r="C17" s="1"/>
      <c r="D17" s="1"/>
      <c r="E17" s="1"/>
      <c r="F17" s="16">
        <f>Details!E95</f>
        <v>3.5</v>
      </c>
      <c r="G17" s="1"/>
      <c r="H17" s="49">
        <f>ROUND(F17*Input!$D$13,0)</f>
        <v>3500</v>
      </c>
      <c r="I17" s="1">
        <f t="shared" si="0"/>
        <v>3570</v>
      </c>
      <c r="J17" s="1">
        <f t="shared" si="1"/>
        <v>3819.9</v>
      </c>
      <c r="K17" s="1">
        <f t="shared" si="2"/>
        <v>3743.502</v>
      </c>
      <c r="L17" s="1">
        <f t="shared" si="3"/>
        <v>3930.6771000000003</v>
      </c>
      <c r="M17" s="1"/>
      <c r="N17" s="1"/>
      <c r="O17" s="1"/>
      <c r="P17" s="1"/>
      <c r="Q17" s="1"/>
      <c r="R17" s="1"/>
      <c r="S17" s="1"/>
      <c r="T17" s="1"/>
      <c r="U17" s="1"/>
      <c r="V17" s="1"/>
      <c r="W17" s="1"/>
      <c r="X17" s="1"/>
      <c r="Y17" s="1"/>
    </row>
    <row r="18" spans="1:25" ht="15.5">
      <c r="A18" s="1" t="s">
        <v>282</v>
      </c>
      <c r="B18" s="1"/>
      <c r="C18" s="1"/>
      <c r="D18" s="1"/>
      <c r="E18" s="1"/>
      <c r="F18" s="16">
        <f>Details!E100</f>
        <v>2.5</v>
      </c>
      <c r="G18" s="1"/>
      <c r="H18" s="49">
        <f>ROUND(F18*Input!$D$13,0)</f>
        <v>2500</v>
      </c>
      <c r="I18" s="1">
        <f t="shared" si="0"/>
        <v>2550</v>
      </c>
      <c r="J18" s="1">
        <f t="shared" si="1"/>
        <v>2728.5</v>
      </c>
      <c r="K18" s="1">
        <f t="shared" si="2"/>
        <v>2673.93</v>
      </c>
      <c r="L18" s="1">
        <f t="shared" si="3"/>
        <v>2807.6264999999999</v>
      </c>
      <c r="M18" s="1"/>
      <c r="N18" s="1"/>
      <c r="O18" s="1"/>
      <c r="P18" s="1"/>
      <c r="Q18" s="1"/>
      <c r="R18" s="1"/>
      <c r="S18" s="1"/>
      <c r="T18" s="1"/>
      <c r="U18" s="1"/>
      <c r="V18" s="1"/>
      <c r="W18" s="1"/>
      <c r="X18" s="1"/>
      <c r="Y18" s="1"/>
    </row>
    <row r="19" spans="1:25" ht="15.5">
      <c r="A19" s="1" t="s">
        <v>283</v>
      </c>
      <c r="B19" s="1"/>
      <c r="C19" s="1"/>
      <c r="D19" s="1"/>
      <c r="E19" s="1"/>
      <c r="F19" s="16">
        <f>Details!E113</f>
        <v>43.431800000000003</v>
      </c>
      <c r="G19" s="1"/>
      <c r="H19" s="49">
        <f>ROUND(F19*Input!$D$13,0)</f>
        <v>43432</v>
      </c>
      <c r="I19" s="1">
        <f t="shared" si="0"/>
        <v>44300.639999999999</v>
      </c>
      <c r="J19" s="1">
        <f t="shared" si="1"/>
        <v>47401.684800000003</v>
      </c>
      <c r="K19" s="1">
        <f t="shared" si="2"/>
        <v>46453.651104000004</v>
      </c>
      <c r="L19" s="1">
        <f t="shared" si="3"/>
        <v>48776.333659200005</v>
      </c>
      <c r="M19" s="1"/>
      <c r="N19" s="1"/>
      <c r="O19" s="1"/>
      <c r="P19" s="1"/>
      <c r="Q19" s="1"/>
      <c r="R19" s="1"/>
      <c r="S19" s="1"/>
      <c r="T19" s="1"/>
      <c r="U19" s="1"/>
      <c r="V19" s="1"/>
      <c r="W19" s="1"/>
      <c r="X19" s="1"/>
      <c r="Y19" s="1"/>
    </row>
    <row r="20" spans="1:25" ht="15.5">
      <c r="A20" s="1" t="s">
        <v>284</v>
      </c>
      <c r="B20" s="1"/>
      <c r="C20" s="1"/>
      <c r="D20" s="1"/>
      <c r="E20" s="1"/>
      <c r="F20" s="16">
        <f>Details!E132</f>
        <v>0.55940000000000001</v>
      </c>
      <c r="G20" s="1"/>
      <c r="H20" s="49">
        <f>ROUND(F20*Input!$D$13,0)</f>
        <v>559</v>
      </c>
      <c r="I20" s="1">
        <f t="shared" si="0"/>
        <v>570.18000000000006</v>
      </c>
      <c r="J20" s="1">
        <f t="shared" si="1"/>
        <v>610.09260000000006</v>
      </c>
      <c r="K20" s="1">
        <f t="shared" si="2"/>
        <v>597.89074800000003</v>
      </c>
      <c r="L20" s="1">
        <f t="shared" si="3"/>
        <v>627.78528540000002</v>
      </c>
      <c r="M20" s="1"/>
      <c r="N20" s="1"/>
      <c r="O20" s="1"/>
      <c r="P20" s="1"/>
      <c r="Q20" s="1"/>
      <c r="R20" s="1"/>
      <c r="S20" s="1"/>
      <c r="T20" s="1"/>
      <c r="U20" s="1"/>
      <c r="V20" s="1"/>
      <c r="W20" s="1"/>
      <c r="X20" s="1"/>
      <c r="Y20" s="1"/>
    </row>
    <row r="21" spans="1:25" ht="15.75" customHeight="1">
      <c r="A21" s="1" t="s">
        <v>285</v>
      </c>
      <c r="B21" s="1"/>
      <c r="C21" s="1"/>
      <c r="D21" s="1"/>
      <c r="E21" s="1"/>
      <c r="F21" s="16">
        <f>Details!E137</f>
        <v>4</v>
      </c>
      <c r="G21" s="1"/>
      <c r="H21" s="49">
        <f>ROUND(F21*Input!$D$13,0)</f>
        <v>4000</v>
      </c>
      <c r="I21" s="1">
        <f t="shared" si="0"/>
        <v>4080</v>
      </c>
      <c r="J21" s="1">
        <f t="shared" si="1"/>
        <v>4365.6000000000004</v>
      </c>
      <c r="K21" s="1">
        <f t="shared" si="2"/>
        <v>4278.2880000000005</v>
      </c>
      <c r="L21" s="1">
        <f t="shared" si="3"/>
        <v>4492.202400000001</v>
      </c>
      <c r="M21" s="1"/>
      <c r="N21" s="1"/>
      <c r="O21" s="1"/>
      <c r="P21" s="1"/>
      <c r="Q21" s="1"/>
      <c r="R21" s="1"/>
      <c r="S21" s="1"/>
      <c r="T21" s="1"/>
      <c r="U21" s="1"/>
      <c r="V21" s="1"/>
      <c r="W21" s="1"/>
      <c r="X21" s="1"/>
      <c r="Y21" s="1"/>
    </row>
    <row r="22" spans="1:25" ht="15.75" customHeight="1">
      <c r="A22" s="1" t="s">
        <v>286</v>
      </c>
      <c r="B22" s="1"/>
      <c r="C22" s="1"/>
      <c r="D22" s="1"/>
      <c r="E22" s="1"/>
      <c r="F22" s="16">
        <f>Details!E142</f>
        <v>0.6</v>
      </c>
      <c r="G22" s="1"/>
      <c r="H22" s="49">
        <f>ROUND(F22*Input!$D$13,0)</f>
        <v>600</v>
      </c>
      <c r="I22" s="1">
        <f t="shared" si="0"/>
        <v>612</v>
      </c>
      <c r="J22" s="1">
        <f t="shared" si="1"/>
        <v>654.84</v>
      </c>
      <c r="K22" s="1">
        <f t="shared" si="2"/>
        <v>641.7432</v>
      </c>
      <c r="L22" s="1">
        <f t="shared" si="3"/>
        <v>673.83036000000004</v>
      </c>
      <c r="M22" s="1"/>
      <c r="N22" s="1"/>
      <c r="O22" s="1"/>
      <c r="P22" s="1"/>
      <c r="Q22" s="1"/>
      <c r="R22" s="1"/>
      <c r="S22" s="1"/>
      <c r="T22" s="1"/>
      <c r="U22" s="1"/>
      <c r="V22" s="1"/>
      <c r="W22" s="1"/>
      <c r="X22" s="1"/>
      <c r="Y22" s="1"/>
    </row>
    <row r="23" spans="1:25" ht="15.75" customHeight="1">
      <c r="A23" s="1" t="s">
        <v>287</v>
      </c>
      <c r="B23" s="1"/>
      <c r="C23" s="1"/>
      <c r="D23" s="1"/>
      <c r="E23" s="1"/>
      <c r="F23" s="42">
        <f>Details!E150</f>
        <v>18.8475</v>
      </c>
      <c r="G23" s="41"/>
      <c r="H23" s="57">
        <f>ROUND(F23*Input!$D$13,0)</f>
        <v>18848</v>
      </c>
      <c r="I23" s="1">
        <f t="shared" si="0"/>
        <v>19224.96</v>
      </c>
      <c r="J23" s="1">
        <f t="shared" si="1"/>
        <v>20570.707200000001</v>
      </c>
      <c r="K23" s="1">
        <f t="shared" si="2"/>
        <v>20159.293055999999</v>
      </c>
      <c r="L23" s="1">
        <f t="shared" si="3"/>
        <v>21167.2577088</v>
      </c>
      <c r="M23" s="1"/>
      <c r="N23" s="1"/>
      <c r="O23" s="1"/>
      <c r="P23" s="1"/>
      <c r="Q23" s="1"/>
      <c r="R23" s="1"/>
      <c r="S23" s="1"/>
      <c r="T23" s="1"/>
      <c r="U23" s="1"/>
      <c r="V23" s="1"/>
      <c r="W23" s="1"/>
      <c r="X23" s="1"/>
      <c r="Y23" s="1"/>
    </row>
    <row r="24" spans="1:25" ht="15.75" customHeight="1">
      <c r="A24" s="1" t="s">
        <v>288</v>
      </c>
      <c r="B24" s="1"/>
      <c r="C24" s="1"/>
      <c r="D24" s="1"/>
      <c r="E24" s="1"/>
      <c r="F24" s="16">
        <f>SUM(F12:F23)</f>
        <v>1996.5741</v>
      </c>
      <c r="G24" s="1"/>
      <c r="H24" s="49">
        <f>SUM(H12:H23)</f>
        <v>1996574</v>
      </c>
      <c r="I24" s="1">
        <f t="shared" si="0"/>
        <v>2036505.48</v>
      </c>
      <c r="J24" s="1">
        <f t="shared" si="1"/>
        <v>2179060.8636000003</v>
      </c>
      <c r="K24" s="1">
        <f t="shared" si="2"/>
        <v>2135479.6463280004</v>
      </c>
      <c r="L24" s="1">
        <f t="shared" si="3"/>
        <v>2242253.6286444003</v>
      </c>
      <c r="M24" s="1"/>
      <c r="N24" s="1"/>
      <c r="O24" s="1"/>
      <c r="P24" s="1"/>
      <c r="Q24" s="1"/>
      <c r="R24" s="1"/>
      <c r="S24" s="1"/>
      <c r="T24" s="1"/>
      <c r="U24" s="1"/>
      <c r="V24" s="1"/>
      <c r="W24" s="1"/>
      <c r="X24" s="1"/>
      <c r="Y24" s="1"/>
    </row>
    <row r="25" spans="1:25" ht="15.75" customHeight="1">
      <c r="A25" s="1" t="s">
        <v>289</v>
      </c>
      <c r="B25" s="1"/>
      <c r="C25" s="1"/>
      <c r="D25" s="1"/>
      <c r="E25" s="1"/>
      <c r="F25" s="42">
        <f>Details!E158</f>
        <v>78.347800000000007</v>
      </c>
      <c r="G25" s="41"/>
      <c r="H25" s="57">
        <f>ROUND(F25*Input!$D$13,0)</f>
        <v>78348</v>
      </c>
      <c r="I25" s="1">
        <f t="shared" si="0"/>
        <v>79914.960000000006</v>
      </c>
      <c r="J25" s="1">
        <f t="shared" si="1"/>
        <v>85509.007200000007</v>
      </c>
      <c r="K25" s="1">
        <f t="shared" si="2"/>
        <v>83798.827056000009</v>
      </c>
      <c r="L25" s="1">
        <f t="shared" si="3"/>
        <v>87988.76840880001</v>
      </c>
      <c r="M25" s="1"/>
      <c r="N25" s="1"/>
      <c r="O25" s="1"/>
      <c r="P25" s="1"/>
      <c r="Q25" s="1"/>
      <c r="R25" s="1"/>
      <c r="S25" s="1"/>
      <c r="T25" s="1"/>
      <c r="U25" s="1"/>
      <c r="V25" s="1"/>
      <c r="W25" s="1"/>
      <c r="X25" s="1"/>
      <c r="Y25" s="1"/>
    </row>
    <row r="26" spans="1:25" ht="15.75" customHeight="1">
      <c r="A26" s="2" t="s">
        <v>290</v>
      </c>
      <c r="B26" s="1"/>
      <c r="C26" s="1"/>
      <c r="D26" s="1"/>
      <c r="E26" s="1"/>
      <c r="F26" s="44">
        <f>F24+F25</f>
        <v>2074.9219000000003</v>
      </c>
      <c r="G26" s="1"/>
      <c r="H26" s="59">
        <f>H24+H25</f>
        <v>2074922</v>
      </c>
      <c r="I26" s="2">
        <f t="shared" si="0"/>
        <v>2116420.44</v>
      </c>
      <c r="J26" s="2">
        <f t="shared" si="1"/>
        <v>2264569.8708000001</v>
      </c>
      <c r="K26" s="2">
        <f t="shared" si="2"/>
        <v>2219278.4733839999</v>
      </c>
      <c r="L26" s="2">
        <f t="shared" si="3"/>
        <v>2330242.3970531998</v>
      </c>
      <c r="M26" s="1"/>
      <c r="N26" s="1"/>
      <c r="O26" s="1"/>
      <c r="P26" s="1"/>
      <c r="Q26" s="1"/>
      <c r="R26" s="1"/>
      <c r="S26" s="1"/>
      <c r="T26" s="1"/>
      <c r="U26" s="1"/>
      <c r="V26" s="1"/>
      <c r="W26" s="1"/>
      <c r="X26" s="1"/>
      <c r="Y26" s="1"/>
    </row>
    <row r="27" spans="1:25" ht="15.75" customHeight="1">
      <c r="A27" s="2" t="s">
        <v>224</v>
      </c>
      <c r="B27" s="1"/>
      <c r="C27" s="1"/>
      <c r="D27" s="1"/>
      <c r="E27" s="1"/>
      <c r="F27" s="16"/>
      <c r="G27" s="1"/>
      <c r="H27" s="49"/>
      <c r="I27" s="1"/>
      <c r="J27" s="1"/>
      <c r="K27" s="1"/>
      <c r="L27" s="1"/>
      <c r="M27" s="1"/>
      <c r="N27" s="1"/>
      <c r="O27" s="1"/>
      <c r="P27" s="1"/>
      <c r="Q27" s="1"/>
      <c r="R27" s="1"/>
      <c r="S27" s="1"/>
      <c r="T27" s="1"/>
      <c r="U27" s="1"/>
      <c r="V27" s="1"/>
      <c r="W27" s="1"/>
      <c r="X27" s="1"/>
      <c r="Y27" s="1"/>
    </row>
    <row r="28" spans="1:25" ht="15.75" customHeight="1">
      <c r="A28" s="2" t="s">
        <v>291</v>
      </c>
      <c r="B28" s="1"/>
      <c r="C28" s="1"/>
      <c r="D28" s="1"/>
      <c r="E28" s="1"/>
      <c r="F28" s="16"/>
      <c r="G28" s="1"/>
      <c r="H28" s="49"/>
      <c r="I28" s="1"/>
      <c r="J28" s="1"/>
      <c r="K28" s="1"/>
      <c r="L28" s="1"/>
      <c r="M28" s="1"/>
      <c r="N28" s="1"/>
      <c r="O28" s="1"/>
      <c r="P28" s="1"/>
      <c r="Q28" s="1"/>
      <c r="R28" s="1"/>
      <c r="S28" s="1"/>
      <c r="T28" s="1"/>
      <c r="U28" s="1"/>
      <c r="V28" s="1"/>
      <c r="W28" s="1"/>
      <c r="X28" s="1"/>
      <c r="Y28" s="1"/>
    </row>
    <row r="29" spans="1:25" ht="15.75" customHeight="1">
      <c r="A29" s="1" t="s">
        <v>228</v>
      </c>
      <c r="B29" s="1"/>
      <c r="C29" s="1"/>
      <c r="D29" s="1"/>
      <c r="E29" s="1"/>
      <c r="F29" s="16">
        <f>Details!E191</f>
        <v>2.5920000000000001</v>
      </c>
      <c r="G29" s="1"/>
      <c r="H29" s="49">
        <f>F29*Input!$D$13</f>
        <v>2592</v>
      </c>
      <c r="I29" s="1">
        <f>H29</f>
        <v>2592</v>
      </c>
      <c r="J29" s="1">
        <f>I29</f>
        <v>2592</v>
      </c>
      <c r="K29" s="1">
        <f>J29</f>
        <v>2592</v>
      </c>
      <c r="L29" s="1">
        <f>K29</f>
        <v>2592</v>
      </c>
      <c r="M29" s="1"/>
      <c r="N29" s="1"/>
      <c r="O29" s="1"/>
      <c r="P29" s="1"/>
      <c r="Q29" s="1"/>
      <c r="R29" s="1"/>
      <c r="S29" s="1"/>
      <c r="T29" s="1"/>
      <c r="U29" s="1"/>
      <c r="V29" s="1"/>
      <c r="W29" s="1"/>
      <c r="X29" s="1"/>
      <c r="Y29" s="1"/>
    </row>
    <row r="30" spans="1:25" ht="15.75" customHeight="1">
      <c r="A30" s="1" t="s">
        <v>232</v>
      </c>
      <c r="B30" s="1"/>
      <c r="C30" s="1"/>
      <c r="D30" s="1"/>
      <c r="E30" s="1"/>
      <c r="F30" s="16">
        <f>Details!E198</f>
        <v>5.6</v>
      </c>
      <c r="G30" s="1"/>
      <c r="H30" s="49">
        <f>F30*Input!$D$13</f>
        <v>5600</v>
      </c>
      <c r="I30" s="1">
        <f>H30</f>
        <v>5600</v>
      </c>
      <c r="J30" s="1">
        <f t="shared" ref="J30:L34" si="4">I30</f>
        <v>5600</v>
      </c>
      <c r="K30" s="1">
        <f t="shared" si="4"/>
        <v>5600</v>
      </c>
      <c r="L30" s="1">
        <f t="shared" si="4"/>
        <v>5600</v>
      </c>
      <c r="M30" s="1"/>
      <c r="N30" s="1"/>
      <c r="O30" s="1"/>
      <c r="P30" s="1"/>
      <c r="Q30" s="1"/>
      <c r="R30" s="1"/>
      <c r="S30" s="1"/>
      <c r="T30" s="1"/>
      <c r="U30" s="1"/>
      <c r="V30" s="1"/>
      <c r="W30" s="1"/>
      <c r="X30" s="1"/>
      <c r="Y30" s="1"/>
    </row>
    <row r="31" spans="1:25" ht="15.75" customHeight="1">
      <c r="A31" s="2" t="s">
        <v>292</v>
      </c>
      <c r="B31" s="1"/>
      <c r="C31" s="1"/>
      <c r="D31" s="1"/>
      <c r="E31" s="1"/>
      <c r="F31" s="16" t="s">
        <v>51</v>
      </c>
      <c r="G31" s="1"/>
      <c r="H31" s="49"/>
      <c r="I31" s="1"/>
      <c r="J31" s="1"/>
      <c r="K31" s="1"/>
      <c r="L31" s="1"/>
      <c r="M31" s="1"/>
      <c r="N31" s="1"/>
      <c r="O31" s="1"/>
      <c r="P31" s="1"/>
      <c r="Q31" s="1"/>
      <c r="R31" s="1"/>
      <c r="S31" s="1"/>
      <c r="T31" s="1"/>
      <c r="U31" s="1"/>
      <c r="V31" s="1"/>
      <c r="W31" s="1"/>
      <c r="X31" s="1"/>
      <c r="Y31" s="1"/>
    </row>
    <row r="32" spans="1:25" ht="15.75" customHeight="1">
      <c r="A32" s="1" t="s">
        <v>236</v>
      </c>
      <c r="B32" s="1"/>
      <c r="C32" s="1"/>
      <c r="D32" s="1"/>
      <c r="E32" s="1"/>
      <c r="F32" s="16">
        <f>Details!E208</f>
        <v>0.79200000000000004</v>
      </c>
      <c r="G32" s="1"/>
      <c r="H32" s="49">
        <f>F32*Input!$D$13</f>
        <v>792</v>
      </c>
      <c r="I32" s="1">
        <f>H32</f>
        <v>792</v>
      </c>
      <c r="J32" s="1">
        <f t="shared" si="4"/>
        <v>792</v>
      </c>
      <c r="K32" s="1">
        <f t="shared" si="4"/>
        <v>792</v>
      </c>
      <c r="L32" s="1">
        <f t="shared" si="4"/>
        <v>792</v>
      </c>
      <c r="M32" s="1"/>
      <c r="N32" s="1"/>
      <c r="O32" s="1"/>
      <c r="P32" s="1"/>
      <c r="Q32" s="1"/>
      <c r="R32" s="1"/>
      <c r="S32" s="1"/>
      <c r="T32" s="1"/>
      <c r="U32" s="1"/>
      <c r="V32" s="1"/>
      <c r="W32" s="1"/>
      <c r="X32" s="1"/>
      <c r="Y32" s="1"/>
    </row>
    <row r="33" spans="1:25" ht="15.75" customHeight="1">
      <c r="A33" s="1" t="s">
        <v>239</v>
      </c>
      <c r="B33" s="1"/>
      <c r="C33" s="1"/>
      <c r="D33" s="1"/>
      <c r="E33" s="1"/>
      <c r="F33" s="42">
        <f>Details!E216</f>
        <v>1.05</v>
      </c>
      <c r="G33" s="41"/>
      <c r="H33" s="57">
        <f>F33*Input!$D$13</f>
        <v>1050</v>
      </c>
      <c r="I33" s="41">
        <f>H33</f>
        <v>1050</v>
      </c>
      <c r="J33" s="41">
        <f t="shared" si="4"/>
        <v>1050</v>
      </c>
      <c r="K33" s="41">
        <f t="shared" si="4"/>
        <v>1050</v>
      </c>
      <c r="L33" s="41">
        <f t="shared" si="4"/>
        <v>1050</v>
      </c>
      <c r="M33" s="1"/>
      <c r="N33" s="1"/>
      <c r="O33" s="1"/>
      <c r="P33" s="1"/>
      <c r="Q33" s="1"/>
      <c r="R33" s="1"/>
      <c r="S33" s="1"/>
      <c r="T33" s="1"/>
      <c r="U33" s="1"/>
      <c r="V33" s="1"/>
      <c r="W33" s="1"/>
      <c r="X33" s="1"/>
      <c r="Y33" s="1"/>
    </row>
    <row r="34" spans="1:25" ht="15.75" customHeight="1">
      <c r="A34" s="2" t="s">
        <v>293</v>
      </c>
      <c r="B34" s="1"/>
      <c r="C34" s="1"/>
      <c r="D34" s="1"/>
      <c r="E34" s="1"/>
      <c r="F34" s="94">
        <f>SUM(F29:F33)</f>
        <v>10.034000000000001</v>
      </c>
      <c r="G34" s="41"/>
      <c r="H34" s="95">
        <f>SUM(H29:H33)</f>
        <v>10034</v>
      </c>
      <c r="I34" s="38">
        <f>H34</f>
        <v>10034</v>
      </c>
      <c r="J34" s="38">
        <f t="shared" si="4"/>
        <v>10034</v>
      </c>
      <c r="K34" s="38">
        <f t="shared" si="4"/>
        <v>10034</v>
      </c>
      <c r="L34" s="38">
        <f t="shared" si="4"/>
        <v>10034</v>
      </c>
      <c r="M34" s="1"/>
      <c r="N34" s="1"/>
      <c r="O34" s="1"/>
      <c r="P34" s="1"/>
      <c r="Q34" s="1"/>
      <c r="R34" s="1"/>
      <c r="S34" s="1"/>
      <c r="T34" s="1"/>
      <c r="U34" s="1"/>
      <c r="V34" s="1"/>
      <c r="W34" s="1"/>
      <c r="X34" s="1"/>
      <c r="Y34" s="1"/>
    </row>
    <row r="35" spans="1:25" ht="15.75" customHeight="1">
      <c r="A35" s="2" t="s">
        <v>294</v>
      </c>
      <c r="B35" s="2"/>
      <c r="C35" s="2"/>
      <c r="D35" s="2"/>
      <c r="E35" s="2"/>
      <c r="F35" s="44">
        <f>F26+F34</f>
        <v>2084.9559000000004</v>
      </c>
      <c r="G35" s="1"/>
      <c r="H35" s="59">
        <f>H26+H34</f>
        <v>2084956</v>
      </c>
      <c r="I35" s="59">
        <f t="shared" ref="I35:L35" si="5">I26+I34</f>
        <v>2126454.44</v>
      </c>
      <c r="J35" s="59">
        <f t="shared" si="5"/>
        <v>2274603.8708000001</v>
      </c>
      <c r="K35" s="59">
        <f t="shared" si="5"/>
        <v>2229312.4733839999</v>
      </c>
      <c r="L35" s="59">
        <f t="shared" si="5"/>
        <v>2340276.3970531998</v>
      </c>
      <c r="M35" s="1"/>
      <c r="N35" s="1"/>
      <c r="O35" s="1"/>
      <c r="P35" s="1"/>
      <c r="Q35" s="1"/>
      <c r="R35" s="1"/>
      <c r="S35" s="1"/>
      <c r="T35" s="1"/>
      <c r="U35" s="1"/>
      <c r="V35" s="1"/>
      <c r="W35" s="1"/>
      <c r="X35" s="1"/>
      <c r="Y35" s="1"/>
    </row>
    <row r="36" spans="1:25" ht="7.5" customHeight="1">
      <c r="A36" s="2"/>
      <c r="B36" s="2"/>
      <c r="C36" s="2"/>
      <c r="D36" s="2"/>
      <c r="E36" s="2"/>
      <c r="F36" s="44"/>
      <c r="G36" s="1"/>
      <c r="H36" s="59"/>
      <c r="I36" s="1"/>
      <c r="J36" s="1"/>
      <c r="K36" s="1"/>
      <c r="L36" s="1"/>
      <c r="M36" s="1"/>
      <c r="N36" s="1"/>
      <c r="O36" s="1"/>
      <c r="P36" s="1"/>
      <c r="Q36" s="1"/>
      <c r="R36" s="1"/>
      <c r="S36" s="1"/>
      <c r="T36" s="1"/>
      <c r="U36" s="1"/>
      <c r="V36" s="1"/>
      <c r="W36" s="1"/>
      <c r="X36" s="1"/>
      <c r="Y36" s="1"/>
    </row>
    <row r="37" spans="1:25" ht="15.75" customHeight="1">
      <c r="A37" s="2" t="s">
        <v>295</v>
      </c>
      <c r="B37" s="1"/>
      <c r="C37" s="1"/>
      <c r="D37" s="1"/>
      <c r="E37" s="1"/>
      <c r="F37" s="16">
        <f>Details!E221</f>
        <v>40</v>
      </c>
      <c r="G37" s="1"/>
      <c r="H37" s="49">
        <f>F37*Input!$D$13</f>
        <v>40000</v>
      </c>
      <c r="I37" s="1">
        <f>H37*1.05</f>
        <v>42000</v>
      </c>
      <c r="J37" s="1">
        <f t="shared" ref="J37:L37" si="6">I37*1.05</f>
        <v>44100</v>
      </c>
      <c r="K37" s="1">
        <f t="shared" si="6"/>
        <v>46305</v>
      </c>
      <c r="L37" s="1">
        <f t="shared" si="6"/>
        <v>48620.25</v>
      </c>
      <c r="M37" s="1"/>
      <c r="N37" s="1"/>
      <c r="O37" s="1"/>
      <c r="P37" s="1"/>
      <c r="Q37" s="1"/>
      <c r="R37" s="1"/>
      <c r="S37" s="1"/>
      <c r="T37" s="1"/>
      <c r="U37" s="1"/>
      <c r="V37" s="1"/>
      <c r="W37" s="1"/>
      <c r="X37" s="1"/>
      <c r="Y37" s="1"/>
    </row>
    <row r="38" spans="1:25" ht="15.75" customHeight="1">
      <c r="A38" s="2" t="s">
        <v>296</v>
      </c>
      <c r="B38" s="2"/>
      <c r="C38" s="2"/>
      <c r="D38" s="2"/>
      <c r="E38" s="2"/>
      <c r="F38" s="44">
        <f>F35+F37</f>
        <v>2124.9559000000004</v>
      </c>
      <c r="G38" s="1"/>
      <c r="H38" s="59">
        <f>H35+H37</f>
        <v>2124956</v>
      </c>
      <c r="I38" s="59">
        <f t="shared" ref="I38:L38" si="7">I35+I37</f>
        <v>2168454.44</v>
      </c>
      <c r="J38" s="59">
        <f t="shared" si="7"/>
        <v>2318703.8708000001</v>
      </c>
      <c r="K38" s="59">
        <f t="shared" si="7"/>
        <v>2275617.4733839999</v>
      </c>
      <c r="L38" s="59">
        <f t="shared" si="7"/>
        <v>2388896.6470531998</v>
      </c>
      <c r="M38" s="1"/>
      <c r="N38" s="1"/>
      <c r="O38" s="1"/>
      <c r="P38" s="1"/>
      <c r="Q38" s="1"/>
      <c r="R38" s="1"/>
      <c r="S38" s="1"/>
      <c r="T38" s="1"/>
      <c r="U38" s="1"/>
      <c r="V38" s="1"/>
      <c r="W38" s="1"/>
      <c r="X38" s="1"/>
      <c r="Y38" s="1"/>
    </row>
    <row r="39" spans="1:25" ht="7.5" customHeight="1" thickBot="1">
      <c r="A39" s="96"/>
      <c r="B39" s="96"/>
      <c r="C39" s="96"/>
      <c r="D39" s="96"/>
      <c r="E39" s="96"/>
      <c r="F39" s="96"/>
      <c r="G39" s="96"/>
      <c r="H39" s="96"/>
      <c r="I39" s="2"/>
      <c r="J39" s="2"/>
      <c r="K39" s="2"/>
      <c r="L39" s="2"/>
      <c r="M39" s="1"/>
      <c r="N39" s="1"/>
      <c r="O39" s="1"/>
      <c r="P39" s="1"/>
      <c r="Q39" s="1"/>
      <c r="R39" s="1"/>
      <c r="S39" s="1"/>
      <c r="T39" s="1"/>
      <c r="U39" s="1"/>
      <c r="V39" s="1"/>
      <c r="W39" s="1"/>
      <c r="X39" s="1"/>
      <c r="Y39" s="1"/>
    </row>
    <row r="40" spans="1:25" ht="15.75" customHeight="1" thickTop="1">
      <c r="A40" s="187" t="s">
        <v>297</v>
      </c>
      <c r="B40" s="187"/>
      <c r="C40" s="187"/>
      <c r="D40" s="187"/>
      <c r="E40" s="187"/>
      <c r="F40" s="187"/>
      <c r="G40" s="187"/>
      <c r="H40" s="187"/>
      <c r="I40" s="187"/>
      <c r="J40" s="187"/>
      <c r="K40" s="187"/>
      <c r="L40" s="151"/>
      <c r="M40" s="70"/>
      <c r="N40" s="70"/>
      <c r="O40" s="70"/>
      <c r="P40" s="70"/>
      <c r="Q40" s="70"/>
      <c r="R40" s="70"/>
      <c r="S40" s="70"/>
      <c r="T40" s="70"/>
      <c r="U40" s="70"/>
      <c r="V40" s="70"/>
      <c r="W40" s="70"/>
      <c r="X40" s="70"/>
      <c r="Y40" s="70"/>
    </row>
    <row r="41" spans="1:25" ht="7.5" customHeight="1">
      <c r="A41" s="70"/>
      <c r="B41" s="70"/>
      <c r="C41" s="19"/>
      <c r="D41" s="97"/>
      <c r="E41" s="19"/>
      <c r="F41" s="70"/>
      <c r="G41" s="19"/>
      <c r="H41" s="98"/>
      <c r="I41" s="2"/>
      <c r="J41" s="2"/>
      <c r="K41" s="2"/>
      <c r="L41" s="2"/>
      <c r="M41" s="70"/>
      <c r="N41" s="70"/>
      <c r="O41" s="70"/>
      <c r="P41" s="70"/>
      <c r="Q41" s="70"/>
      <c r="R41" s="70"/>
      <c r="S41" s="70"/>
      <c r="T41" s="70"/>
      <c r="U41" s="70"/>
      <c r="V41" s="70"/>
      <c r="W41" s="70"/>
      <c r="X41" s="70"/>
      <c r="Y41" s="70"/>
    </row>
    <row r="42" spans="1:25" ht="15.75" customHeight="1">
      <c r="A42" s="97" t="s">
        <v>298</v>
      </c>
      <c r="B42" s="70"/>
      <c r="C42" s="19"/>
      <c r="D42" s="19"/>
      <c r="E42" s="19"/>
      <c r="F42" s="33" t="s">
        <v>299</v>
      </c>
      <c r="G42" s="48" t="s">
        <v>51</v>
      </c>
      <c r="H42" s="32" t="s">
        <v>6</v>
      </c>
      <c r="I42" s="2"/>
      <c r="J42" s="2"/>
      <c r="K42" s="2"/>
      <c r="L42" s="2"/>
      <c r="M42" s="70"/>
      <c r="N42" s="70"/>
      <c r="O42" s="70"/>
      <c r="P42" s="70"/>
      <c r="Q42" s="70"/>
      <c r="R42" s="70"/>
      <c r="S42" s="70"/>
      <c r="T42" s="70"/>
      <c r="U42" s="70"/>
      <c r="V42" s="70"/>
      <c r="W42" s="70"/>
      <c r="X42" s="70"/>
      <c r="Y42" s="70"/>
    </row>
    <row r="43" spans="1:25" ht="15.75" customHeight="1">
      <c r="A43" s="1" t="str">
        <f>"    Gross Revenue @ $"&amp;Input!D18&amp;"/cwt market price"</f>
        <v xml:space="preserve">    Gross Revenue @ $277/cwt market price</v>
      </c>
      <c r="B43" s="19"/>
      <c r="C43" s="19"/>
      <c r="D43" s="19"/>
      <c r="E43" s="19"/>
      <c r="F43" s="44">
        <f>'Breakeven Analysis'!E48</f>
        <v>2307.41</v>
      </c>
      <c r="G43" s="97"/>
      <c r="H43" s="59">
        <f>ROUND(F43*Input!$D$13,0)</f>
        <v>2307410</v>
      </c>
      <c r="I43" s="2">
        <f>H43*1.05</f>
        <v>2422780.5</v>
      </c>
      <c r="J43" s="2">
        <f t="shared" ref="J43:L43" si="8">I43*1.05</f>
        <v>2543919.5249999999</v>
      </c>
      <c r="K43" s="2">
        <f t="shared" si="8"/>
        <v>2671115.5012500002</v>
      </c>
      <c r="L43" s="2">
        <f t="shared" si="8"/>
        <v>2804671.2763125002</v>
      </c>
      <c r="M43" s="97"/>
      <c r="N43" s="97"/>
      <c r="O43" s="97"/>
      <c r="P43" s="97"/>
      <c r="Q43" s="97"/>
      <c r="R43" s="97"/>
      <c r="S43" s="97"/>
      <c r="T43" s="97"/>
      <c r="U43" s="97"/>
      <c r="V43" s="97"/>
      <c r="W43" s="97"/>
      <c r="X43" s="97"/>
      <c r="Y43" s="97"/>
    </row>
    <row r="44" spans="1:25" ht="7.5" customHeight="1">
      <c r="A44" s="47"/>
      <c r="B44" s="99"/>
      <c r="C44" s="99"/>
      <c r="D44" s="99"/>
      <c r="E44" s="99"/>
      <c r="F44" s="100"/>
      <c r="G44" s="99"/>
      <c r="H44" s="101"/>
      <c r="I44" s="152"/>
      <c r="J44" s="102"/>
      <c r="K44" s="102"/>
      <c r="L44" s="153"/>
      <c r="M44" s="97"/>
      <c r="N44" s="97"/>
      <c r="O44" s="97"/>
      <c r="P44" s="97"/>
      <c r="Q44" s="97"/>
      <c r="R44" s="97"/>
      <c r="S44" s="97"/>
      <c r="T44" s="97"/>
      <c r="U44" s="97"/>
      <c r="V44" s="97"/>
      <c r="W44" s="97"/>
      <c r="X44" s="97"/>
      <c r="Y44" s="97"/>
    </row>
    <row r="45" spans="1:25" ht="7.5" customHeight="1">
      <c r="A45" s="1"/>
      <c r="B45" s="70"/>
      <c r="C45" s="19"/>
      <c r="D45" s="97"/>
      <c r="E45" s="19"/>
      <c r="F45" s="70"/>
      <c r="G45" s="19"/>
      <c r="H45" s="98"/>
      <c r="I45" s="45"/>
      <c r="J45" s="70"/>
      <c r="K45" s="70"/>
      <c r="L45" s="70"/>
      <c r="M45" s="70"/>
      <c r="N45" s="70"/>
      <c r="O45" s="70"/>
      <c r="P45" s="70"/>
      <c r="Q45" s="70"/>
      <c r="R45" s="70"/>
      <c r="S45" s="70"/>
      <c r="T45" s="70"/>
      <c r="U45" s="70"/>
      <c r="V45" s="70"/>
      <c r="W45" s="70"/>
      <c r="X45" s="70"/>
      <c r="Y45" s="70"/>
    </row>
    <row r="46" spans="1:25" ht="15.75" customHeight="1">
      <c r="A46" s="2" t="s">
        <v>300</v>
      </c>
      <c r="B46" s="1"/>
      <c r="C46" s="1"/>
      <c r="D46" s="1"/>
      <c r="E46" s="1"/>
      <c r="F46" s="103" t="s">
        <v>301</v>
      </c>
      <c r="G46" s="1"/>
      <c r="H46" s="103" t="s">
        <v>302</v>
      </c>
      <c r="I46" s="45"/>
      <c r="J46" s="1"/>
      <c r="K46" s="1"/>
      <c r="L46" s="1"/>
      <c r="M46" s="1"/>
      <c r="N46" s="1"/>
      <c r="O46" s="1"/>
      <c r="P46" s="1"/>
      <c r="Q46" s="1"/>
      <c r="R46" s="1"/>
      <c r="S46" s="1"/>
      <c r="T46" s="1"/>
      <c r="U46" s="1"/>
      <c r="V46" s="1"/>
      <c r="W46" s="1"/>
      <c r="X46" s="1"/>
      <c r="Y46" s="1"/>
    </row>
    <row r="47" spans="1:25" ht="15.75" customHeight="1">
      <c r="A47" s="1"/>
      <c r="B47" s="1"/>
      <c r="C47" s="1"/>
      <c r="D47" s="1"/>
      <c r="E47" s="1"/>
      <c r="F47" s="103" t="s">
        <v>303</v>
      </c>
      <c r="G47" s="1"/>
      <c r="H47" s="103" t="s">
        <v>303</v>
      </c>
      <c r="I47" s="45"/>
      <c r="J47" s="1"/>
      <c r="K47" s="1"/>
      <c r="L47" s="1"/>
      <c r="M47" s="1"/>
      <c r="N47" s="1"/>
      <c r="O47" s="1"/>
      <c r="P47" s="1"/>
      <c r="Q47" s="1"/>
      <c r="R47" s="1"/>
      <c r="S47" s="1"/>
      <c r="T47" s="1"/>
      <c r="U47" s="1"/>
      <c r="V47" s="1"/>
      <c r="W47" s="1"/>
      <c r="X47" s="1"/>
      <c r="Y47" s="1"/>
    </row>
    <row r="48" spans="1:25" ht="15.75" customHeight="1">
      <c r="A48" s="2"/>
      <c r="B48" s="1"/>
      <c r="C48" s="1"/>
      <c r="D48" s="1"/>
      <c r="E48" s="1"/>
      <c r="F48" s="104" t="str">
        <f>"$"&amp;Input!D18&amp;"/cwt market price"</f>
        <v>$277/cwt market price</v>
      </c>
      <c r="G48" s="1"/>
      <c r="H48" s="104" t="str">
        <f>"$"&amp;Input!D16&amp;"/cwt feeder price"</f>
        <v>$304/cwt feeder price</v>
      </c>
      <c r="I48" s="45"/>
      <c r="J48" s="1"/>
      <c r="K48" s="1"/>
      <c r="L48" s="1"/>
      <c r="M48" s="1"/>
      <c r="N48" s="1"/>
      <c r="O48" s="1"/>
      <c r="P48" s="1"/>
      <c r="Q48" s="1"/>
      <c r="R48" s="1"/>
      <c r="S48" s="1"/>
      <c r="T48" s="1"/>
      <c r="U48" s="1"/>
      <c r="V48" s="1"/>
      <c r="W48" s="1"/>
      <c r="X48" s="1"/>
      <c r="Y48" s="1"/>
    </row>
    <row r="49" spans="1:25" ht="15.75" customHeight="1">
      <c r="A49" s="1" t="s">
        <v>304</v>
      </c>
      <c r="B49" s="1"/>
      <c r="C49" s="1"/>
      <c r="D49" s="1"/>
      <c r="E49" s="1"/>
      <c r="F49" s="16">
        <f>'Breakeven Analysis'!E51*100</f>
        <v>342.74801666666662</v>
      </c>
      <c r="G49" s="1"/>
      <c r="H49" s="16">
        <f>'Breakeven Analysis'!E31*100</f>
        <v>249.09026410564229</v>
      </c>
      <c r="I49" s="2">
        <f>H49*1.05</f>
        <v>261.54477731092442</v>
      </c>
      <c r="J49" s="1"/>
      <c r="K49" s="1"/>
      <c r="L49" s="1"/>
      <c r="M49" s="1"/>
      <c r="N49" s="1"/>
      <c r="O49" s="1"/>
      <c r="P49" s="1"/>
      <c r="Q49" s="1"/>
      <c r="R49" s="1"/>
      <c r="S49" s="1"/>
      <c r="T49" s="1"/>
      <c r="U49" s="1"/>
      <c r="V49" s="1"/>
      <c r="W49" s="1"/>
      <c r="X49" s="1"/>
      <c r="Y49" s="1"/>
    </row>
    <row r="50" spans="1:25" ht="15.75" customHeight="1">
      <c r="A50" s="1" t="s">
        <v>305</v>
      </c>
      <c r="B50" s="1"/>
      <c r="C50" s="1"/>
      <c r="D50" s="1"/>
      <c r="E50" s="1"/>
      <c r="F50" s="16">
        <f>'Breakeven Analysis'!E58*100</f>
        <v>336.08134999999993</v>
      </c>
      <c r="G50" s="1"/>
      <c r="H50" s="16">
        <f>'Breakeven Analysis'!E35*100</f>
        <v>253.89218487394962</v>
      </c>
      <c r="I50" s="2">
        <f>H50*1.05</f>
        <v>266.58679411764712</v>
      </c>
      <c r="J50" s="1"/>
      <c r="K50" s="1"/>
      <c r="L50" s="1"/>
      <c r="M50" s="1"/>
      <c r="N50" s="1"/>
      <c r="O50" s="1"/>
      <c r="P50" s="1"/>
      <c r="Q50" s="1"/>
      <c r="R50" s="1"/>
      <c r="S50" s="1"/>
      <c r="T50" s="1"/>
      <c r="U50" s="1"/>
      <c r="V50" s="1"/>
      <c r="W50" s="1"/>
      <c r="X50" s="1"/>
      <c r="Y50" s="1"/>
    </row>
    <row r="51" spans="1:25" ht="15.75" customHeight="1">
      <c r="A51" s="1" t="s">
        <v>306</v>
      </c>
      <c r="B51" s="1"/>
      <c r="C51" s="1"/>
      <c r="D51" s="1"/>
      <c r="E51" s="1"/>
      <c r="F51" s="16">
        <f>'Breakeven Analysis'!E65*100</f>
        <v>341.07568333333325</v>
      </c>
      <c r="G51" s="1"/>
      <c r="H51" s="16">
        <f>'Breakeven Analysis'!E39*100</f>
        <v>250.29482593037221</v>
      </c>
      <c r="I51" s="2">
        <f>H51*1.05</f>
        <v>262.80956722689081</v>
      </c>
      <c r="J51" s="1"/>
      <c r="K51" s="1"/>
      <c r="L51" s="1"/>
      <c r="M51" s="1"/>
      <c r="N51" s="1"/>
      <c r="O51" s="1"/>
      <c r="P51" s="1"/>
      <c r="Q51" s="1"/>
      <c r="R51" s="1"/>
      <c r="S51" s="1"/>
      <c r="T51" s="1"/>
      <c r="U51" s="1"/>
      <c r="V51" s="1"/>
      <c r="W51" s="1"/>
      <c r="X51" s="1"/>
      <c r="Y51" s="1"/>
    </row>
    <row r="52" spans="1:25" ht="15.75" customHeight="1">
      <c r="A52" s="1" t="s">
        <v>307</v>
      </c>
      <c r="B52" s="1"/>
      <c r="C52" s="1"/>
      <c r="D52" s="1"/>
      <c r="E52" s="1"/>
      <c r="F52" s="16">
        <f>'Breakeven Analysis'!E72*100</f>
        <v>334.40901666666656</v>
      </c>
      <c r="G52" s="1"/>
      <c r="H52" s="16">
        <f>'Breakeven Analysis'!E43*100</f>
        <v>255.09674669867951</v>
      </c>
      <c r="I52" s="2">
        <f>H52*1.05</f>
        <v>267.85158403361351</v>
      </c>
      <c r="J52" s="1"/>
      <c r="K52" s="1"/>
      <c r="L52" s="1"/>
      <c r="M52" s="1"/>
      <c r="N52" s="1"/>
      <c r="O52" s="1"/>
      <c r="P52" s="1"/>
      <c r="Q52" s="1"/>
      <c r="R52" s="1"/>
      <c r="S52" s="1"/>
      <c r="T52" s="1"/>
      <c r="U52" s="1"/>
      <c r="V52" s="1"/>
      <c r="W52" s="1"/>
      <c r="X52" s="1"/>
      <c r="Y52" s="1"/>
    </row>
    <row r="53" spans="1:25" ht="7.5" customHeight="1">
      <c r="A53" s="1"/>
      <c r="B53" s="1"/>
      <c r="C53" s="1"/>
      <c r="D53" s="1"/>
      <c r="E53" s="1"/>
      <c r="F53" s="16"/>
      <c r="G53" s="1"/>
      <c r="H53" s="16"/>
      <c r="I53" s="1"/>
      <c r="J53" s="1"/>
      <c r="K53" s="1"/>
      <c r="L53" s="1"/>
      <c r="M53" s="1"/>
      <c r="N53" s="1"/>
      <c r="O53" s="1"/>
      <c r="P53" s="1"/>
      <c r="Q53" s="1"/>
      <c r="R53" s="1"/>
      <c r="S53" s="1"/>
      <c r="T53" s="1"/>
      <c r="U53" s="1"/>
      <c r="V53" s="1"/>
      <c r="W53" s="1"/>
      <c r="X53" s="1"/>
      <c r="Y53" s="1"/>
    </row>
    <row r="54" spans="1:25" ht="15.75" customHeight="1">
      <c r="A54" s="70"/>
      <c r="B54" s="70"/>
      <c r="C54" s="19"/>
      <c r="D54" s="97"/>
      <c r="E54" s="19"/>
      <c r="F54" s="105" t="s">
        <v>308</v>
      </c>
      <c r="G54" s="19"/>
      <c r="H54" s="106" t="s">
        <v>309</v>
      </c>
      <c r="I54" s="19"/>
      <c r="J54" s="70"/>
      <c r="K54" s="70"/>
      <c r="L54" s="70"/>
      <c r="M54" s="70"/>
      <c r="N54" s="70"/>
      <c r="O54" s="70"/>
      <c r="P54" s="70"/>
      <c r="Q54" s="70"/>
      <c r="R54" s="70"/>
      <c r="S54" s="70"/>
      <c r="T54" s="70"/>
      <c r="U54" s="70"/>
      <c r="V54" s="70"/>
      <c r="W54" s="70"/>
      <c r="X54" s="70"/>
      <c r="Y54" s="70"/>
    </row>
    <row r="55" spans="1:25" ht="15.75" customHeight="1">
      <c r="A55" s="2"/>
      <c r="B55" s="1"/>
      <c r="C55" s="1"/>
      <c r="D55" s="1"/>
      <c r="E55" s="1"/>
      <c r="F55" s="107" t="s">
        <v>310</v>
      </c>
      <c r="G55" s="1"/>
      <c r="H55" s="108" t="str">
        <f>"@ $"&amp;Input!D18&amp;" /cwt market price"</f>
        <v>@ $277 /cwt market price</v>
      </c>
      <c r="I55" s="1"/>
      <c r="J55" s="1"/>
      <c r="K55" s="1"/>
      <c r="L55" s="1"/>
      <c r="M55" s="1"/>
      <c r="N55" s="1"/>
      <c r="O55" s="1"/>
      <c r="P55" s="1"/>
      <c r="Q55" s="1"/>
      <c r="R55" s="1"/>
      <c r="S55" s="1"/>
      <c r="T55" s="1"/>
      <c r="U55" s="1"/>
      <c r="V55" s="1"/>
      <c r="W55" s="1"/>
      <c r="X55" s="1"/>
      <c r="Y55" s="1"/>
    </row>
    <row r="56" spans="1:25" ht="15.75" customHeight="1">
      <c r="A56" s="1" t="s">
        <v>311</v>
      </c>
      <c r="B56" s="1"/>
      <c r="C56" s="1"/>
      <c r="D56" s="1"/>
      <c r="E56" s="1"/>
      <c r="F56" s="16">
        <f>'Breakeven Analysis'!E7*100</f>
        <v>21.289871244635194</v>
      </c>
      <c r="G56" s="1"/>
      <c r="H56" s="109"/>
      <c r="I56" s="39"/>
      <c r="J56" s="1"/>
      <c r="K56" s="1"/>
      <c r="L56" s="1"/>
      <c r="M56" s="1"/>
      <c r="N56" s="1"/>
      <c r="O56" s="1"/>
      <c r="P56" s="1"/>
      <c r="Q56" s="1"/>
      <c r="R56" s="1"/>
      <c r="S56" s="1"/>
      <c r="T56" s="1"/>
      <c r="U56" s="1"/>
      <c r="V56" s="1"/>
      <c r="W56" s="1"/>
      <c r="X56" s="1"/>
      <c r="Y56" s="1"/>
    </row>
    <row r="57" spans="1:25" ht="15.75" customHeight="1">
      <c r="A57" s="1" t="s">
        <v>304</v>
      </c>
      <c r="B57" s="1"/>
      <c r="C57" s="1"/>
      <c r="D57" s="1"/>
      <c r="E57" s="1"/>
      <c r="F57" s="16">
        <f>'Breakeven Analysis'!E12*100</f>
        <v>107.69180257510742</v>
      </c>
      <c r="G57" s="1"/>
      <c r="H57" s="110">
        <f>'Breakeven Analysis'!E48-F26</f>
        <v>232.48809999999958</v>
      </c>
      <c r="I57" s="39"/>
      <c r="J57" s="1"/>
      <c r="K57" s="1"/>
      <c r="L57" s="1"/>
      <c r="M57" s="1"/>
      <c r="N57" s="1"/>
      <c r="O57" s="1"/>
      <c r="P57" s="1"/>
      <c r="Q57" s="1"/>
      <c r="R57" s="1"/>
      <c r="S57" s="1"/>
      <c r="T57" s="1"/>
      <c r="U57" s="1"/>
      <c r="V57" s="1"/>
      <c r="W57" s="1"/>
      <c r="X57" s="1"/>
      <c r="Y57" s="1"/>
    </row>
    <row r="58" spans="1:25" ht="15.75" customHeight="1">
      <c r="A58" s="1" t="s">
        <v>305</v>
      </c>
      <c r="B58" s="1"/>
      <c r="C58" s="1"/>
      <c r="D58" s="1"/>
      <c r="E58" s="1"/>
      <c r="F58" s="16">
        <f>'Breakeven Analysis'!E17*100</f>
        <v>124.85918454935634</v>
      </c>
      <c r="G58" s="1"/>
      <c r="H58" s="110">
        <f>'Breakeven Analysis'!E48-F26-F37</f>
        <v>192.48809999999958</v>
      </c>
      <c r="I58" s="39"/>
      <c r="J58" s="1"/>
      <c r="K58" s="1"/>
      <c r="L58" s="1"/>
      <c r="M58" s="1"/>
      <c r="N58" s="1"/>
      <c r="O58" s="1"/>
      <c r="P58" s="1"/>
      <c r="Q58" s="1"/>
      <c r="R58" s="1"/>
      <c r="S58" s="1"/>
      <c r="T58" s="1"/>
      <c r="U58" s="1"/>
      <c r="V58" s="1"/>
      <c r="W58" s="1"/>
      <c r="X58" s="1"/>
      <c r="Y58" s="1"/>
    </row>
    <row r="59" spans="1:25" ht="15.75" customHeight="1">
      <c r="A59" s="1" t="s">
        <v>306</v>
      </c>
      <c r="B59" s="1"/>
      <c r="C59" s="1"/>
      <c r="D59" s="1"/>
      <c r="E59" s="1"/>
      <c r="F59" s="16">
        <f>'Breakeven Analysis'!E22*100</f>
        <v>111.9982403433478</v>
      </c>
      <c r="G59" s="1"/>
      <c r="H59" s="110">
        <f>'Breakeven Analysis'!E48-F35</f>
        <v>222.45409999999947</v>
      </c>
      <c r="I59" s="60"/>
      <c r="J59" s="1"/>
      <c r="K59" s="1"/>
      <c r="L59" s="1"/>
      <c r="M59" s="1"/>
      <c r="N59" s="1"/>
      <c r="O59" s="1"/>
      <c r="P59" s="1"/>
      <c r="Q59" s="1"/>
      <c r="R59" s="1"/>
      <c r="S59" s="1"/>
      <c r="T59" s="1"/>
      <c r="U59" s="1"/>
      <c r="V59" s="1"/>
      <c r="W59" s="1"/>
      <c r="X59" s="1"/>
      <c r="Y59" s="1"/>
    </row>
    <row r="60" spans="1:25" ht="15.75" customHeight="1">
      <c r="A60" s="1" t="s">
        <v>307</v>
      </c>
      <c r="B60" s="1"/>
      <c r="C60" s="1"/>
      <c r="D60" s="1"/>
      <c r="E60" s="1"/>
      <c r="F60" s="16">
        <f>'Breakeven Analysis'!E27*100</f>
        <v>129.16562231759673</v>
      </c>
      <c r="G60" s="1"/>
      <c r="H60" s="110">
        <f>'Breakeven Analysis'!E48-F38</f>
        <v>182.45409999999947</v>
      </c>
      <c r="I60" s="60"/>
      <c r="J60" s="1"/>
      <c r="K60" s="1"/>
      <c r="L60" s="1"/>
      <c r="M60" s="1"/>
      <c r="N60" s="1"/>
      <c r="O60" s="1"/>
      <c r="P60" s="1"/>
      <c r="Q60" s="1"/>
      <c r="R60" s="1"/>
      <c r="S60" s="1"/>
      <c r="T60" s="1"/>
      <c r="U60" s="1"/>
      <c r="V60" s="1"/>
      <c r="W60" s="1"/>
      <c r="X60" s="1"/>
      <c r="Y60" s="1"/>
    </row>
    <row r="61" spans="1:25" ht="6" customHeight="1">
      <c r="A61" s="1"/>
      <c r="B61" s="1"/>
      <c r="C61" s="1"/>
      <c r="D61" s="1"/>
      <c r="E61" s="1"/>
      <c r="F61" s="1"/>
      <c r="G61" s="1"/>
      <c r="H61" s="1"/>
      <c r="I61" s="1"/>
      <c r="J61" s="1"/>
      <c r="K61" s="1"/>
      <c r="L61" s="1"/>
      <c r="M61" s="1"/>
      <c r="N61" s="1"/>
      <c r="O61" s="1"/>
      <c r="P61" s="1"/>
      <c r="Q61" s="1"/>
      <c r="R61" s="1"/>
      <c r="S61" s="1"/>
      <c r="T61" s="1"/>
      <c r="U61" s="1"/>
      <c r="V61" s="1"/>
      <c r="W61" s="1"/>
      <c r="X61" s="1"/>
      <c r="Y61" s="1"/>
    </row>
    <row r="62" spans="1:25" ht="45" customHeight="1">
      <c r="A62" s="188" t="s">
        <v>312</v>
      </c>
      <c r="B62" s="180"/>
      <c r="C62" s="180"/>
      <c r="D62" s="180"/>
      <c r="E62" s="180"/>
      <c r="F62" s="180"/>
      <c r="G62" s="180"/>
      <c r="H62" s="180"/>
      <c r="I62" s="180"/>
      <c r="J62" s="1"/>
      <c r="K62" s="1"/>
      <c r="L62" s="1"/>
      <c r="M62" s="1"/>
      <c r="N62" s="1"/>
      <c r="O62" s="1"/>
      <c r="P62" s="1"/>
      <c r="Q62" s="1"/>
      <c r="R62" s="1"/>
      <c r="S62" s="1"/>
      <c r="T62" s="1"/>
      <c r="U62" s="1"/>
      <c r="V62" s="1"/>
      <c r="W62" s="1"/>
      <c r="X62" s="1"/>
      <c r="Y62" s="1"/>
    </row>
    <row r="63" spans="1:25" ht="15.75" customHeight="1">
      <c r="A63" s="1"/>
      <c r="B63" s="1"/>
      <c r="C63" s="1"/>
      <c r="D63" s="1"/>
      <c r="E63" s="1"/>
      <c r="F63" s="1"/>
      <c r="G63" s="1"/>
      <c r="H63" s="1"/>
      <c r="I63" s="1"/>
      <c r="J63" s="1"/>
      <c r="K63" s="1"/>
      <c r="L63" s="1"/>
      <c r="M63" s="1"/>
      <c r="N63" s="1"/>
      <c r="O63" s="1"/>
      <c r="P63" s="1"/>
      <c r="Q63" s="1"/>
      <c r="R63" s="1"/>
      <c r="S63" s="1"/>
      <c r="T63" s="1"/>
      <c r="U63" s="1"/>
      <c r="V63" s="1"/>
      <c r="W63" s="1"/>
      <c r="X63" s="1"/>
      <c r="Y63" s="1"/>
    </row>
    <row r="64" spans="1:25" ht="15.75" customHeight="1">
      <c r="A64" s="1"/>
      <c r="B64" s="1"/>
      <c r="C64" s="1"/>
      <c r="D64" s="1"/>
      <c r="E64" s="1"/>
      <c r="F64" s="1"/>
      <c r="G64" s="1"/>
      <c r="H64" s="1"/>
      <c r="I64" s="1"/>
      <c r="K64" s="1"/>
      <c r="L64" s="1"/>
      <c r="M64" s="1"/>
      <c r="N64" s="1"/>
      <c r="O64" s="1"/>
      <c r="P64" s="1"/>
      <c r="Q64" s="1"/>
      <c r="R64" s="1"/>
      <c r="S64" s="1"/>
      <c r="T64" s="1"/>
      <c r="U64" s="1"/>
      <c r="V64" s="1"/>
      <c r="W64" s="1"/>
      <c r="X64" s="1"/>
      <c r="Y64" s="1"/>
    </row>
    <row r="65" spans="1:25" ht="15.75" customHeight="1">
      <c r="A65" s="1"/>
      <c r="B65" s="1"/>
      <c r="C65" s="1"/>
      <c r="D65" s="1"/>
      <c r="E65" s="1"/>
      <c r="F65" s="1"/>
      <c r="G65" s="1"/>
      <c r="H65" s="1"/>
      <c r="I65" s="1"/>
      <c r="J65" s="1"/>
      <c r="K65" s="1"/>
      <c r="L65" s="1"/>
      <c r="M65" s="1"/>
      <c r="N65" s="1"/>
      <c r="O65" s="1"/>
      <c r="P65" s="1"/>
      <c r="Q65" s="1"/>
      <c r="R65" s="1"/>
      <c r="S65" s="1"/>
      <c r="T65" s="1"/>
      <c r="U65" s="1"/>
      <c r="V65" s="1"/>
      <c r="W65" s="1"/>
      <c r="X65" s="1"/>
      <c r="Y65" s="1"/>
    </row>
    <row r="66" spans="1:25" ht="15.75" customHeight="1">
      <c r="A66" s="1"/>
      <c r="B66" s="1"/>
      <c r="C66" s="1"/>
      <c r="D66" s="1"/>
      <c r="E66" s="1"/>
      <c r="F66" s="1"/>
      <c r="G66" s="1"/>
      <c r="H66" s="1"/>
      <c r="I66" s="1"/>
      <c r="J66" s="1"/>
      <c r="K66" s="1"/>
      <c r="L66" s="1"/>
      <c r="M66" s="1"/>
      <c r="N66" s="1"/>
      <c r="O66" s="1"/>
      <c r="P66" s="1"/>
      <c r="Q66" s="1"/>
      <c r="R66" s="1"/>
      <c r="S66" s="1"/>
      <c r="T66" s="1"/>
      <c r="U66" s="1"/>
      <c r="V66" s="1"/>
      <c r="W66" s="1"/>
      <c r="X66" s="1"/>
      <c r="Y66" s="1"/>
    </row>
    <row r="67" spans="1:25" ht="15.75" customHeight="1">
      <c r="A67" s="1"/>
      <c r="B67" s="1"/>
      <c r="C67" s="1"/>
      <c r="D67" s="1"/>
      <c r="E67" s="1"/>
      <c r="F67" s="1"/>
      <c r="G67" s="1"/>
      <c r="H67" s="1"/>
      <c r="I67" s="1"/>
      <c r="J67" s="1"/>
      <c r="K67" s="1"/>
      <c r="L67" s="1"/>
      <c r="M67" s="1"/>
      <c r="N67" s="1"/>
      <c r="O67" s="1"/>
      <c r="P67" s="1"/>
      <c r="Q67" s="1"/>
      <c r="R67" s="1"/>
      <c r="S67" s="1"/>
      <c r="T67" s="1"/>
      <c r="U67" s="1"/>
      <c r="V67" s="1"/>
      <c r="W67" s="1"/>
      <c r="X67" s="1"/>
      <c r="Y67" s="1"/>
    </row>
    <row r="68" spans="1:25" ht="15.75" customHeight="1">
      <c r="A68" s="1"/>
      <c r="B68" s="1"/>
      <c r="C68" s="1"/>
      <c r="D68" s="1"/>
      <c r="E68" s="1"/>
      <c r="F68" s="1"/>
      <c r="G68" s="1"/>
      <c r="H68" s="1"/>
      <c r="I68" s="1"/>
      <c r="J68" s="1"/>
      <c r="K68" s="1"/>
      <c r="L68" s="1"/>
      <c r="M68" s="1"/>
      <c r="N68" s="1"/>
      <c r="O68" s="1"/>
      <c r="P68" s="1"/>
      <c r="Q68" s="1"/>
      <c r="R68" s="1"/>
      <c r="S68" s="1"/>
      <c r="T68" s="1"/>
      <c r="U68" s="1"/>
      <c r="V68" s="1"/>
      <c r="W68" s="1"/>
      <c r="X68" s="1"/>
      <c r="Y68" s="1"/>
    </row>
    <row r="69" spans="1:25" ht="15.75" customHeight="1">
      <c r="A69" s="1"/>
      <c r="B69" s="1"/>
      <c r="C69" s="1"/>
      <c r="D69" s="1"/>
      <c r="E69" s="1"/>
      <c r="F69" s="1"/>
      <c r="G69" s="1"/>
      <c r="H69" s="1"/>
      <c r="I69" s="1"/>
      <c r="J69" s="1"/>
      <c r="K69" s="1"/>
      <c r="L69" s="1"/>
      <c r="M69" s="1"/>
      <c r="N69" s="1"/>
      <c r="O69" s="1"/>
      <c r="P69" s="1"/>
      <c r="Q69" s="1"/>
      <c r="R69" s="1"/>
      <c r="S69" s="1"/>
      <c r="T69" s="1"/>
      <c r="U69" s="1"/>
      <c r="V69" s="1"/>
      <c r="W69" s="1"/>
      <c r="X69" s="1"/>
      <c r="Y69" s="1"/>
    </row>
    <row r="70" spans="1:25" ht="15.75" customHeight="1">
      <c r="A70" s="1"/>
      <c r="B70" s="1"/>
      <c r="C70" s="1"/>
      <c r="D70" s="1"/>
      <c r="E70" s="1"/>
      <c r="F70" s="1"/>
      <c r="G70" s="1"/>
      <c r="H70" s="1"/>
      <c r="I70" s="1"/>
      <c r="J70" s="1"/>
      <c r="K70" s="1"/>
      <c r="L70" s="1"/>
      <c r="M70" s="1"/>
      <c r="N70" s="1"/>
      <c r="O70" s="1"/>
      <c r="P70" s="1"/>
      <c r="Q70" s="1"/>
      <c r="R70" s="1"/>
      <c r="S70" s="1"/>
      <c r="T70" s="1"/>
      <c r="U70" s="1"/>
      <c r="V70" s="1"/>
      <c r="W70" s="1"/>
      <c r="X70" s="1"/>
      <c r="Y70" s="1"/>
    </row>
    <row r="71" spans="1:25" ht="15.75" customHeight="1">
      <c r="A71" s="1"/>
      <c r="B71" s="1"/>
      <c r="C71" s="1"/>
      <c r="D71" s="1"/>
      <c r="E71" s="1"/>
      <c r="F71" s="1"/>
      <c r="G71" s="1"/>
      <c r="H71" s="1"/>
      <c r="I71" s="1"/>
      <c r="J71" s="1"/>
      <c r="K71" s="1"/>
      <c r="L71" s="1"/>
      <c r="M71" s="1"/>
      <c r="N71" s="1"/>
      <c r="O71" s="1"/>
      <c r="P71" s="1"/>
      <c r="Q71" s="1"/>
      <c r="R71" s="1"/>
      <c r="S71" s="1"/>
      <c r="T71" s="1"/>
      <c r="U71" s="1"/>
      <c r="V71" s="1"/>
      <c r="W71" s="1"/>
      <c r="X71" s="1"/>
      <c r="Y71" s="1"/>
    </row>
    <row r="72" spans="1:25" ht="15.75" customHeight="1">
      <c r="A72" s="1"/>
      <c r="B72" s="1"/>
      <c r="C72" s="1"/>
      <c r="D72" s="1"/>
      <c r="E72" s="1"/>
      <c r="F72" s="1"/>
      <c r="G72" s="1"/>
      <c r="H72" s="1"/>
      <c r="I72" s="1"/>
      <c r="J72" s="1"/>
      <c r="K72" s="1"/>
      <c r="L72" s="1"/>
      <c r="M72" s="1"/>
      <c r="N72" s="1"/>
      <c r="O72" s="1"/>
      <c r="P72" s="1"/>
      <c r="Q72" s="1"/>
      <c r="R72" s="1"/>
      <c r="S72" s="1"/>
      <c r="T72" s="1"/>
      <c r="U72" s="1"/>
      <c r="V72" s="1"/>
      <c r="W72" s="1"/>
      <c r="X72" s="1"/>
      <c r="Y72" s="1"/>
    </row>
    <row r="73" spans="1:25" ht="15.75" customHeight="1">
      <c r="A73" s="1"/>
      <c r="B73" s="1"/>
      <c r="C73" s="1"/>
      <c r="D73" s="1"/>
      <c r="E73" s="1"/>
      <c r="F73" s="1"/>
      <c r="G73" s="1"/>
      <c r="H73" s="1"/>
      <c r="I73" s="1"/>
      <c r="J73" s="1"/>
      <c r="K73" s="1"/>
      <c r="L73" s="1"/>
      <c r="M73" s="1"/>
      <c r="N73" s="1"/>
      <c r="O73" s="1"/>
      <c r="P73" s="1"/>
      <c r="Q73" s="1"/>
      <c r="R73" s="1"/>
      <c r="S73" s="1"/>
      <c r="T73" s="1"/>
      <c r="U73" s="1"/>
      <c r="V73" s="1"/>
      <c r="W73" s="1"/>
      <c r="X73" s="1"/>
      <c r="Y73" s="1"/>
    </row>
    <row r="74" spans="1:25" ht="15.75" customHeight="1">
      <c r="A74" s="1"/>
      <c r="B74" s="1"/>
      <c r="C74" s="1"/>
      <c r="D74" s="1"/>
      <c r="E74" s="1"/>
      <c r="F74" s="1"/>
      <c r="G74" s="1"/>
      <c r="H74" s="1"/>
      <c r="I74" s="1"/>
      <c r="J74" s="1"/>
      <c r="K74" s="1"/>
      <c r="L74" s="1"/>
      <c r="M74" s="1"/>
      <c r="N74" s="1"/>
      <c r="O74" s="1"/>
      <c r="P74" s="1"/>
      <c r="Q74" s="1"/>
      <c r="R74" s="1"/>
      <c r="S74" s="1"/>
      <c r="T74" s="1"/>
      <c r="U74" s="1"/>
      <c r="V74" s="1"/>
      <c r="W74" s="1"/>
      <c r="X74" s="1"/>
      <c r="Y74" s="1"/>
    </row>
    <row r="75" spans="1:25" ht="15.75" customHeight="1">
      <c r="A75" s="1"/>
      <c r="B75" s="1"/>
      <c r="C75" s="1"/>
      <c r="D75" s="1"/>
      <c r="E75" s="1"/>
      <c r="F75" s="1"/>
      <c r="G75" s="1"/>
      <c r="H75" s="1"/>
      <c r="I75" s="1"/>
      <c r="J75" s="1"/>
      <c r="K75" s="1"/>
      <c r="L75" s="1"/>
      <c r="M75" s="1"/>
      <c r="N75" s="1"/>
      <c r="O75" s="1"/>
      <c r="P75" s="1"/>
      <c r="Q75" s="1"/>
      <c r="R75" s="1"/>
      <c r="S75" s="1"/>
      <c r="T75" s="1"/>
      <c r="U75" s="1"/>
      <c r="V75" s="1"/>
      <c r="W75" s="1"/>
      <c r="X75" s="1"/>
      <c r="Y75" s="1"/>
    </row>
    <row r="76" spans="1:25" ht="15.75" customHeight="1">
      <c r="A76" s="1"/>
      <c r="B76" s="1"/>
      <c r="C76" s="1"/>
      <c r="D76" s="1"/>
      <c r="E76" s="1"/>
      <c r="F76" s="1"/>
      <c r="G76" s="1"/>
      <c r="H76" s="1"/>
      <c r="I76" s="1"/>
      <c r="J76" s="1"/>
      <c r="K76" s="1"/>
      <c r="L76" s="1"/>
      <c r="M76" s="1"/>
      <c r="N76" s="1"/>
      <c r="O76" s="1"/>
      <c r="P76" s="1"/>
      <c r="Q76" s="1"/>
      <c r="R76" s="1"/>
      <c r="S76" s="1"/>
      <c r="T76" s="1"/>
      <c r="U76" s="1"/>
      <c r="V76" s="1"/>
      <c r="W76" s="1"/>
      <c r="X76" s="1"/>
      <c r="Y76" s="1"/>
    </row>
    <row r="77" spans="1:25" ht="15.75" customHeight="1">
      <c r="A77" s="1"/>
      <c r="B77" s="1"/>
      <c r="C77" s="1"/>
      <c r="D77" s="1"/>
      <c r="E77" s="1"/>
      <c r="F77" s="1"/>
      <c r="G77" s="1"/>
      <c r="H77" s="1"/>
      <c r="I77" s="1"/>
      <c r="J77" s="1"/>
      <c r="K77" s="1"/>
      <c r="L77" s="1"/>
      <c r="M77" s="1"/>
      <c r="N77" s="1"/>
      <c r="O77" s="1"/>
      <c r="P77" s="1"/>
      <c r="Q77" s="1"/>
      <c r="R77" s="1"/>
      <c r="S77" s="1"/>
      <c r="T77" s="1"/>
      <c r="U77" s="1"/>
      <c r="V77" s="1"/>
      <c r="W77" s="1"/>
      <c r="X77" s="1"/>
      <c r="Y77" s="1"/>
    </row>
    <row r="78" spans="1:25" ht="15.75" customHeight="1">
      <c r="A78" s="1"/>
      <c r="B78" s="1"/>
      <c r="C78" s="1"/>
      <c r="D78" s="1"/>
      <c r="E78" s="1"/>
      <c r="F78" s="1"/>
      <c r="G78" s="1"/>
      <c r="H78" s="1"/>
      <c r="I78" s="1"/>
      <c r="J78" s="1"/>
      <c r="K78" s="1"/>
      <c r="L78" s="1"/>
      <c r="M78" s="1"/>
      <c r="N78" s="1"/>
      <c r="O78" s="1"/>
      <c r="P78" s="1"/>
      <c r="Q78" s="1"/>
      <c r="R78" s="1"/>
      <c r="S78" s="1"/>
      <c r="T78" s="1"/>
      <c r="U78" s="1"/>
      <c r="V78" s="1"/>
      <c r="W78" s="1"/>
      <c r="X78" s="1"/>
      <c r="Y78" s="1"/>
    </row>
    <row r="79" spans="1:25" ht="15.75" customHeight="1">
      <c r="A79" s="1"/>
      <c r="B79" s="1"/>
      <c r="C79" s="1"/>
      <c r="D79" s="1"/>
      <c r="E79" s="1"/>
      <c r="F79" s="1"/>
      <c r="G79" s="1"/>
      <c r="H79" s="1"/>
      <c r="I79" s="1"/>
      <c r="J79" s="1"/>
      <c r="K79" s="1"/>
      <c r="L79" s="1"/>
      <c r="M79" s="1"/>
      <c r="N79" s="1"/>
      <c r="O79" s="1"/>
      <c r="P79" s="1"/>
      <c r="Q79" s="1"/>
      <c r="R79" s="1"/>
      <c r="S79" s="1"/>
      <c r="T79" s="1"/>
      <c r="U79" s="1"/>
      <c r="V79" s="1"/>
      <c r="W79" s="1"/>
      <c r="X79" s="1"/>
      <c r="Y79" s="1"/>
    </row>
    <row r="80" spans="1:25" ht="15.75" customHeight="1">
      <c r="A80" s="1"/>
      <c r="B80" s="1"/>
      <c r="C80" s="1"/>
      <c r="D80" s="1"/>
      <c r="E80" s="1"/>
      <c r="F80" s="1"/>
      <c r="G80" s="1"/>
      <c r="H80" s="1"/>
      <c r="I80" s="1"/>
      <c r="J80" s="1"/>
      <c r="K80" s="1"/>
      <c r="L80" s="1"/>
      <c r="M80" s="1"/>
      <c r="N80" s="1"/>
      <c r="O80" s="1"/>
      <c r="P80" s="1"/>
      <c r="Q80" s="1"/>
      <c r="R80" s="1"/>
      <c r="S80" s="1"/>
      <c r="T80" s="1"/>
      <c r="U80" s="1"/>
      <c r="V80" s="1"/>
      <c r="W80" s="1"/>
      <c r="X80" s="1"/>
      <c r="Y80" s="1"/>
    </row>
    <row r="81" spans="1:25" ht="15.75" customHeight="1">
      <c r="A81" s="1"/>
      <c r="B81" s="1"/>
      <c r="C81" s="1"/>
      <c r="D81" s="1"/>
      <c r="E81" s="1"/>
      <c r="F81" s="1"/>
      <c r="G81" s="1"/>
      <c r="H81" s="1"/>
      <c r="I81" s="1"/>
      <c r="J81" s="1"/>
      <c r="K81" s="1"/>
      <c r="L81" s="1"/>
      <c r="M81" s="1"/>
      <c r="N81" s="1"/>
      <c r="O81" s="1"/>
      <c r="P81" s="1"/>
      <c r="Q81" s="1"/>
      <c r="R81" s="1"/>
      <c r="S81" s="1"/>
      <c r="T81" s="1"/>
      <c r="U81" s="1"/>
      <c r="V81" s="1"/>
      <c r="W81" s="1"/>
      <c r="X81" s="1"/>
      <c r="Y81" s="1"/>
    </row>
    <row r="82" spans="1:25" ht="15.75" customHeight="1">
      <c r="A82" s="1"/>
      <c r="B82" s="1"/>
      <c r="C82" s="1"/>
      <c r="D82" s="1"/>
      <c r="E82" s="1"/>
      <c r="F82" s="1"/>
      <c r="G82" s="1"/>
      <c r="H82" s="1"/>
      <c r="I82" s="1"/>
      <c r="J82" s="1"/>
      <c r="K82" s="1"/>
      <c r="L82" s="1"/>
      <c r="M82" s="1"/>
      <c r="N82" s="1"/>
      <c r="O82" s="1"/>
      <c r="P82" s="1"/>
      <c r="Q82" s="1"/>
      <c r="R82" s="1"/>
      <c r="S82" s="1"/>
      <c r="T82" s="1"/>
      <c r="U82" s="1"/>
      <c r="V82" s="1"/>
      <c r="W82" s="1"/>
      <c r="X82" s="1"/>
      <c r="Y82" s="1"/>
    </row>
    <row r="83" spans="1:25" ht="15.75" customHeight="1">
      <c r="A83" s="1"/>
      <c r="B83" s="1"/>
      <c r="C83" s="1"/>
      <c r="D83" s="1"/>
      <c r="E83" s="1"/>
      <c r="F83" s="1"/>
      <c r="G83" s="1"/>
      <c r="H83" s="1"/>
      <c r="I83" s="1"/>
      <c r="J83" s="1"/>
      <c r="K83" s="1"/>
      <c r="L83" s="1"/>
      <c r="M83" s="1"/>
      <c r="N83" s="1"/>
      <c r="O83" s="1"/>
      <c r="P83" s="1"/>
      <c r="Q83" s="1"/>
      <c r="R83" s="1"/>
      <c r="S83" s="1"/>
      <c r="T83" s="1"/>
      <c r="U83" s="1"/>
      <c r="V83" s="1"/>
      <c r="W83" s="1"/>
      <c r="X83" s="1"/>
      <c r="Y83" s="1"/>
    </row>
    <row r="84" spans="1:25" ht="15.75" customHeight="1">
      <c r="A84" s="1"/>
      <c r="B84" s="1"/>
      <c r="C84" s="1"/>
      <c r="D84" s="1"/>
      <c r="E84" s="1"/>
      <c r="F84" s="1"/>
      <c r="G84" s="1"/>
      <c r="H84" s="1"/>
      <c r="I84" s="1"/>
      <c r="J84" s="1"/>
      <c r="K84" s="1"/>
      <c r="L84" s="1"/>
      <c r="M84" s="1"/>
      <c r="N84" s="1"/>
      <c r="O84" s="1"/>
      <c r="P84" s="1"/>
      <c r="Q84" s="1"/>
      <c r="R84" s="1"/>
      <c r="S84" s="1"/>
      <c r="T84" s="1"/>
      <c r="U84" s="1"/>
      <c r="V84" s="1"/>
      <c r="W84" s="1"/>
      <c r="X84" s="1"/>
      <c r="Y84" s="1"/>
    </row>
    <row r="85" spans="1:25" ht="15.75" customHeight="1">
      <c r="A85" s="1"/>
      <c r="B85" s="1"/>
      <c r="C85" s="1"/>
      <c r="D85" s="1"/>
      <c r="E85" s="1"/>
      <c r="F85" s="1"/>
      <c r="G85" s="1"/>
      <c r="H85" s="1"/>
      <c r="I85" s="1"/>
      <c r="J85" s="1"/>
      <c r="K85" s="1"/>
      <c r="L85" s="1"/>
      <c r="M85" s="1"/>
      <c r="N85" s="1"/>
      <c r="O85" s="1"/>
      <c r="P85" s="1"/>
      <c r="Q85" s="1"/>
      <c r="R85" s="1"/>
      <c r="S85" s="1"/>
      <c r="T85" s="1"/>
      <c r="U85" s="1"/>
      <c r="V85" s="1"/>
      <c r="W85" s="1"/>
      <c r="X85" s="1"/>
      <c r="Y85" s="1"/>
    </row>
    <row r="86" spans="1:25" ht="15.75" customHeight="1">
      <c r="A86" s="1"/>
      <c r="B86" s="1"/>
      <c r="C86" s="1"/>
      <c r="D86" s="1"/>
      <c r="E86" s="1"/>
      <c r="F86" s="1"/>
      <c r="G86" s="1"/>
      <c r="H86" s="1"/>
      <c r="I86" s="1"/>
      <c r="J86" s="1"/>
      <c r="K86" s="1"/>
      <c r="L86" s="1"/>
      <c r="M86" s="1"/>
      <c r="N86" s="1"/>
      <c r="O86" s="1"/>
      <c r="P86" s="1"/>
      <c r="Q86" s="1"/>
      <c r="R86" s="1"/>
      <c r="S86" s="1"/>
      <c r="T86" s="1"/>
      <c r="U86" s="1"/>
      <c r="V86" s="1"/>
      <c r="W86" s="1"/>
      <c r="X86" s="1"/>
      <c r="Y86" s="1"/>
    </row>
    <row r="87" spans="1:25" ht="15.75" customHeight="1">
      <c r="A87" s="1"/>
      <c r="B87" s="1"/>
      <c r="C87" s="1"/>
      <c r="D87" s="1"/>
      <c r="E87" s="1"/>
      <c r="F87" s="1"/>
      <c r="G87" s="1"/>
      <c r="H87" s="1"/>
      <c r="I87" s="1"/>
      <c r="J87" s="1"/>
      <c r="K87" s="1"/>
      <c r="L87" s="1"/>
      <c r="M87" s="1"/>
      <c r="N87" s="1"/>
      <c r="O87" s="1"/>
      <c r="P87" s="1"/>
      <c r="Q87" s="1"/>
      <c r="R87" s="1"/>
      <c r="S87" s="1"/>
      <c r="T87" s="1"/>
      <c r="U87" s="1"/>
      <c r="V87" s="1"/>
      <c r="W87" s="1"/>
      <c r="X87" s="1"/>
      <c r="Y87" s="1"/>
    </row>
    <row r="88" spans="1:25" ht="15.75" customHeight="1">
      <c r="A88" s="1"/>
      <c r="B88" s="1"/>
      <c r="C88" s="1"/>
      <c r="D88" s="1"/>
      <c r="E88" s="1"/>
      <c r="F88" s="1"/>
      <c r="G88" s="1"/>
      <c r="H88" s="1"/>
      <c r="I88" s="1"/>
      <c r="J88" s="1"/>
      <c r="K88" s="1"/>
      <c r="L88" s="1"/>
      <c r="M88" s="1"/>
      <c r="N88" s="1"/>
      <c r="O88" s="1"/>
      <c r="P88" s="1"/>
      <c r="Q88" s="1"/>
      <c r="R88" s="1"/>
      <c r="S88" s="1"/>
      <c r="T88" s="1"/>
      <c r="U88" s="1"/>
      <c r="V88" s="1"/>
      <c r="W88" s="1"/>
      <c r="X88" s="1"/>
      <c r="Y88" s="1"/>
    </row>
    <row r="89" spans="1:25" ht="15.75" customHeight="1">
      <c r="A89" s="1"/>
      <c r="B89" s="1"/>
      <c r="C89" s="1"/>
      <c r="D89" s="1"/>
      <c r="E89" s="1"/>
      <c r="F89" s="1"/>
      <c r="G89" s="1"/>
      <c r="H89" s="1"/>
      <c r="I89" s="1"/>
      <c r="J89" s="1"/>
      <c r="K89" s="1"/>
      <c r="L89" s="1"/>
      <c r="M89" s="1"/>
      <c r="N89" s="1"/>
      <c r="O89" s="1"/>
      <c r="P89" s="1"/>
      <c r="Q89" s="1"/>
      <c r="R89" s="1"/>
      <c r="S89" s="1"/>
      <c r="T89" s="1"/>
      <c r="U89" s="1"/>
      <c r="V89" s="1"/>
      <c r="W89" s="1"/>
      <c r="X89" s="1"/>
      <c r="Y89" s="1"/>
    </row>
    <row r="90" spans="1:25" ht="15.75" customHeight="1">
      <c r="A90" s="1"/>
      <c r="B90" s="1"/>
      <c r="C90" s="1"/>
      <c r="D90" s="1"/>
      <c r="E90" s="1"/>
      <c r="F90" s="1"/>
      <c r="G90" s="1"/>
      <c r="H90" s="1"/>
      <c r="I90" s="1"/>
      <c r="J90" s="1"/>
      <c r="K90" s="1"/>
      <c r="L90" s="1"/>
      <c r="M90" s="1"/>
      <c r="N90" s="1"/>
      <c r="O90" s="1"/>
      <c r="P90" s="1"/>
      <c r="Q90" s="1"/>
      <c r="R90" s="1"/>
      <c r="S90" s="1"/>
      <c r="T90" s="1"/>
      <c r="U90" s="1"/>
      <c r="V90" s="1"/>
      <c r="W90" s="1"/>
      <c r="X90" s="1"/>
      <c r="Y90" s="1"/>
    </row>
    <row r="91" spans="1:25" ht="15.75" customHeight="1">
      <c r="A91" s="1"/>
      <c r="B91" s="1"/>
      <c r="C91" s="1"/>
      <c r="D91" s="1"/>
      <c r="E91" s="1"/>
      <c r="F91" s="1"/>
      <c r="G91" s="1"/>
      <c r="H91" s="1"/>
      <c r="I91" s="1"/>
      <c r="J91" s="1"/>
      <c r="K91" s="1"/>
      <c r="L91" s="1"/>
      <c r="M91" s="1"/>
      <c r="N91" s="1"/>
      <c r="O91" s="1"/>
      <c r="P91" s="1"/>
      <c r="Q91" s="1"/>
      <c r="R91" s="1"/>
      <c r="S91" s="1"/>
      <c r="T91" s="1"/>
      <c r="U91" s="1"/>
      <c r="V91" s="1"/>
      <c r="W91" s="1"/>
      <c r="X91" s="1"/>
      <c r="Y91" s="1"/>
    </row>
    <row r="92" spans="1:25" ht="15.75" customHeight="1">
      <c r="A92" s="1"/>
      <c r="B92" s="1"/>
      <c r="C92" s="1"/>
      <c r="D92" s="1"/>
      <c r="E92" s="1"/>
      <c r="F92" s="1"/>
      <c r="G92" s="1"/>
      <c r="H92" s="1"/>
      <c r="I92" s="1"/>
      <c r="J92" s="1"/>
      <c r="K92" s="1"/>
      <c r="L92" s="1"/>
      <c r="M92" s="1"/>
      <c r="N92" s="1"/>
      <c r="O92" s="1"/>
      <c r="P92" s="1"/>
      <c r="Q92" s="1"/>
      <c r="R92" s="1"/>
      <c r="S92" s="1"/>
      <c r="T92" s="1"/>
      <c r="U92" s="1"/>
      <c r="V92" s="1"/>
      <c r="W92" s="1"/>
      <c r="X92" s="1"/>
      <c r="Y92" s="1"/>
    </row>
    <row r="93" spans="1:25" ht="15.75" customHeight="1">
      <c r="A93" s="1"/>
      <c r="B93" s="1"/>
      <c r="C93" s="1"/>
      <c r="D93" s="1"/>
      <c r="E93" s="1"/>
      <c r="F93" s="1"/>
      <c r="G93" s="1"/>
      <c r="H93" s="1"/>
      <c r="I93" s="1"/>
      <c r="J93" s="1"/>
      <c r="K93" s="1"/>
      <c r="L93" s="1"/>
      <c r="M93" s="1"/>
      <c r="N93" s="1"/>
      <c r="O93" s="1"/>
      <c r="P93" s="1"/>
      <c r="Q93" s="1"/>
      <c r="R93" s="1"/>
      <c r="S93" s="1"/>
      <c r="T93" s="1"/>
      <c r="U93" s="1"/>
      <c r="V93" s="1"/>
      <c r="W93" s="1"/>
      <c r="X93" s="1"/>
      <c r="Y93" s="1"/>
    </row>
    <row r="94" spans="1:25" ht="15.75" customHeight="1">
      <c r="A94" s="1"/>
      <c r="B94" s="1"/>
      <c r="C94" s="1"/>
      <c r="D94" s="1"/>
      <c r="E94" s="1"/>
      <c r="F94" s="1"/>
      <c r="G94" s="1"/>
      <c r="H94" s="1"/>
      <c r="I94" s="1"/>
      <c r="J94" s="1"/>
      <c r="K94" s="1"/>
      <c r="L94" s="1"/>
      <c r="M94" s="1"/>
      <c r="N94" s="1"/>
      <c r="O94" s="1"/>
      <c r="P94" s="1"/>
      <c r="Q94" s="1"/>
      <c r="R94" s="1"/>
      <c r="S94" s="1"/>
      <c r="T94" s="1"/>
      <c r="U94" s="1"/>
      <c r="V94" s="1"/>
      <c r="W94" s="1"/>
      <c r="X94" s="1"/>
      <c r="Y94" s="1"/>
    </row>
    <row r="95" spans="1:25" ht="15.75" customHeight="1">
      <c r="A95" s="1"/>
      <c r="B95" s="1"/>
      <c r="C95" s="1"/>
      <c r="D95" s="1"/>
      <c r="E95" s="1"/>
      <c r="F95" s="1"/>
      <c r="G95" s="1"/>
      <c r="H95" s="1"/>
      <c r="I95" s="1"/>
      <c r="J95" s="1"/>
      <c r="K95" s="1"/>
      <c r="L95" s="1"/>
      <c r="M95" s="1"/>
      <c r="N95" s="1"/>
      <c r="O95" s="1"/>
      <c r="P95" s="1"/>
      <c r="Q95" s="1"/>
      <c r="R95" s="1"/>
      <c r="S95" s="1"/>
      <c r="T95" s="1"/>
      <c r="U95" s="1"/>
      <c r="V95" s="1"/>
      <c r="W95" s="1"/>
      <c r="X95" s="1"/>
      <c r="Y95" s="1"/>
    </row>
    <row r="96" spans="1:25" ht="15.75" customHeight="1">
      <c r="A96" s="1"/>
      <c r="B96" s="1"/>
      <c r="C96" s="1"/>
      <c r="D96" s="1"/>
      <c r="E96" s="1"/>
      <c r="F96" s="1"/>
      <c r="G96" s="1"/>
      <c r="H96" s="1"/>
      <c r="I96" s="1"/>
      <c r="J96" s="1"/>
      <c r="K96" s="1"/>
      <c r="L96" s="1"/>
      <c r="M96" s="1"/>
      <c r="N96" s="1"/>
      <c r="O96" s="1"/>
      <c r="P96" s="1"/>
      <c r="Q96" s="1"/>
      <c r="R96" s="1"/>
      <c r="S96" s="1"/>
      <c r="T96" s="1"/>
      <c r="U96" s="1"/>
      <c r="V96" s="1"/>
      <c r="W96" s="1"/>
      <c r="X96" s="1"/>
      <c r="Y96" s="1"/>
    </row>
    <row r="97" spans="1:25" ht="15.75" customHeight="1">
      <c r="A97" s="1"/>
      <c r="B97" s="1"/>
      <c r="C97" s="1"/>
      <c r="D97" s="1"/>
      <c r="E97" s="1"/>
      <c r="F97" s="1"/>
      <c r="G97" s="1"/>
      <c r="H97" s="1"/>
      <c r="I97" s="1"/>
      <c r="J97" s="1"/>
      <c r="K97" s="1"/>
      <c r="L97" s="1"/>
      <c r="M97" s="1"/>
      <c r="N97" s="1"/>
      <c r="O97" s="1"/>
      <c r="P97" s="1"/>
      <c r="Q97" s="1"/>
      <c r="R97" s="1"/>
      <c r="S97" s="1"/>
      <c r="T97" s="1"/>
      <c r="U97" s="1"/>
      <c r="V97" s="1"/>
      <c r="W97" s="1"/>
      <c r="X97" s="1"/>
      <c r="Y97" s="1"/>
    </row>
    <row r="98" spans="1:25" ht="15.75" customHeight="1">
      <c r="A98" s="1"/>
      <c r="B98" s="1"/>
      <c r="C98" s="1"/>
      <c r="D98" s="1"/>
      <c r="E98" s="1"/>
      <c r="F98" s="1"/>
      <c r="G98" s="1"/>
      <c r="H98" s="1"/>
      <c r="I98" s="1"/>
      <c r="J98" s="1"/>
      <c r="K98" s="1"/>
      <c r="L98" s="1"/>
      <c r="M98" s="1"/>
      <c r="N98" s="1"/>
      <c r="O98" s="1"/>
      <c r="P98" s="1"/>
      <c r="Q98" s="1"/>
      <c r="R98" s="1"/>
      <c r="S98" s="1"/>
      <c r="T98" s="1"/>
      <c r="U98" s="1"/>
      <c r="V98" s="1"/>
      <c r="W98" s="1"/>
      <c r="X98" s="1"/>
      <c r="Y98" s="1"/>
    </row>
    <row r="99" spans="1:25" ht="15.75" customHeight="1">
      <c r="A99" s="1"/>
      <c r="B99" s="1"/>
      <c r="C99" s="1"/>
      <c r="D99" s="1"/>
      <c r="E99" s="1"/>
      <c r="F99" s="1"/>
      <c r="G99" s="1"/>
      <c r="H99" s="1"/>
      <c r="I99" s="1"/>
      <c r="J99" s="1"/>
      <c r="K99" s="1"/>
      <c r="L99" s="1"/>
      <c r="M99" s="1"/>
      <c r="N99" s="1"/>
      <c r="O99" s="1"/>
      <c r="P99" s="1"/>
      <c r="Q99" s="1"/>
      <c r="R99" s="1"/>
      <c r="S99" s="1"/>
      <c r="T99" s="1"/>
      <c r="U99" s="1"/>
      <c r="V99" s="1"/>
      <c r="W99" s="1"/>
      <c r="X99" s="1"/>
      <c r="Y99" s="1"/>
    </row>
    <row r="100" spans="1:25"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row>
    <row r="101" spans="1:25"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row>
    <row r="102" spans="1:25"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row>
    <row r="103" spans="1:25"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row>
    <row r="104" spans="1:25"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row>
    <row r="105" spans="1:2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row>
    <row r="106" spans="1:25"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row>
    <row r="107" spans="1:25"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row>
    <row r="108" spans="1:25"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row>
    <row r="109" spans="1:25"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row>
    <row r="110" spans="1:25"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row>
    <row r="111" spans="1:25"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row>
    <row r="112" spans="1:25"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row>
    <row r="113" spans="1:25"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row>
    <row r="114" spans="1:25"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row>
    <row r="115" spans="1:2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row>
    <row r="116" spans="1:25"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row>
    <row r="117" spans="1:25"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row>
    <row r="118" spans="1:25"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row>
    <row r="119" spans="1:25"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row>
    <row r="120" spans="1:25"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row>
    <row r="121" spans="1:25"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row>
    <row r="122" spans="1:25"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row>
    <row r="123" spans="1:25"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row>
    <row r="124" spans="1:25"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row>
    <row r="125" spans="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row>
    <row r="126" spans="1:25"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row>
    <row r="127" spans="1:25"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row>
    <row r="128" spans="1:25"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row>
    <row r="129" spans="1:25"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row>
    <row r="130" spans="1:25"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row>
    <row r="131" spans="1:25"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row>
    <row r="132" spans="1:25"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row>
    <row r="133" spans="1:25"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row>
    <row r="134" spans="1:25"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row>
    <row r="135" spans="1:2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row>
    <row r="136" spans="1:25"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row>
    <row r="137" spans="1:25"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row>
    <row r="138" spans="1:25"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row>
    <row r="139" spans="1:25"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row>
    <row r="140" spans="1:25"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row>
    <row r="141" spans="1:25"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row>
    <row r="142" spans="1:25"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row>
    <row r="143" spans="1:25"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row>
    <row r="144" spans="1:25"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row>
    <row r="145" spans="1:2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row>
    <row r="146" spans="1:25"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row>
    <row r="147" spans="1:25"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row>
    <row r="148" spans="1:25"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row>
    <row r="149" spans="1:25"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row>
    <row r="150" spans="1:25"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row>
    <row r="151" spans="1:25"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row>
    <row r="152" spans="1:25"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row>
    <row r="153" spans="1:25"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row>
    <row r="154" spans="1:25"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row>
    <row r="155" spans="1:2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row>
    <row r="156" spans="1:25"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row>
    <row r="157" spans="1:25"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row>
    <row r="158" spans="1:25"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row>
    <row r="159" spans="1:25"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row>
    <row r="160" spans="1:25"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row>
    <row r="161" spans="1:25"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row>
    <row r="162" spans="1:25"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row>
    <row r="163" spans="1:25"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row>
    <row r="164" spans="1:25"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row>
    <row r="165" spans="1:2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row>
    <row r="166" spans="1:25"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row>
    <row r="167" spans="1:25"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row>
    <row r="168" spans="1:25"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row>
    <row r="169" spans="1:25"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row>
    <row r="170" spans="1:25"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row>
    <row r="171" spans="1:25"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row>
    <row r="172" spans="1:25"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row>
    <row r="173" spans="1:25"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row>
    <row r="174" spans="1:25"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row>
    <row r="175" spans="1:2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row>
    <row r="176" spans="1:25"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row>
    <row r="177" spans="1:25"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row>
    <row r="178" spans="1:25"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row>
    <row r="179" spans="1:25"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row>
    <row r="180" spans="1:25"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row>
    <row r="181" spans="1:25"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row>
    <row r="182" spans="1:25"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row>
    <row r="183" spans="1:25"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row>
    <row r="184" spans="1:25"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row>
    <row r="185" spans="1:2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row>
    <row r="186" spans="1:25"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row>
    <row r="187" spans="1:25"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row>
    <row r="188" spans="1:25"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row>
    <row r="189" spans="1:25"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row>
    <row r="190" spans="1:25"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row>
    <row r="191" spans="1:25"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row>
    <row r="192" spans="1:25"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row>
    <row r="193" spans="1:25"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row>
    <row r="194" spans="1:25"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row>
    <row r="195" spans="1:2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row>
    <row r="196" spans="1:25"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row>
    <row r="197" spans="1:25"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row>
    <row r="198" spans="1:25"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row>
    <row r="199" spans="1:25"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row>
    <row r="200" spans="1:25"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row>
    <row r="201" spans="1:25"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row>
    <row r="202" spans="1:25"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row>
    <row r="203" spans="1:25"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row>
    <row r="204" spans="1:25"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row>
    <row r="205" spans="1:2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row>
    <row r="206" spans="1:25"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row>
    <row r="207" spans="1:25"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row>
    <row r="208" spans="1:25"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row>
    <row r="209" spans="1:25"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row>
    <row r="210" spans="1:25"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row>
    <row r="211" spans="1:25"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row>
    <row r="212" spans="1:25"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row>
    <row r="213" spans="1:25"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row>
    <row r="214" spans="1:25"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row>
    <row r="215" spans="1:2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row>
    <row r="216" spans="1:25"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row>
    <row r="217" spans="1:25"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row>
    <row r="218" spans="1:25"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row>
    <row r="219" spans="1:25"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row>
    <row r="220" spans="1:25"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row>
    <row r="221" spans="1:25"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row>
    <row r="222" spans="1:25"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row>
    <row r="223" spans="1:25"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row>
    <row r="224" spans="1:25"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row>
    <row r="225" spans="1: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row>
    <row r="226" spans="1:25"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row>
    <row r="227" spans="1:25"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row>
    <row r="228" spans="1:25"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row>
    <row r="229" spans="1:25"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row>
    <row r="230" spans="1:25"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row>
    <row r="231" spans="1:25"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row>
    <row r="232" spans="1:25"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row>
    <row r="233" spans="1:25"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row>
    <row r="234" spans="1:25"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row>
    <row r="235" spans="1:2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row>
    <row r="236" spans="1:25"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row>
    <row r="237" spans="1:25"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row>
    <row r="238" spans="1:25"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row>
    <row r="239" spans="1:25"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row>
    <row r="240" spans="1:25"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row>
    <row r="241" spans="1:25"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row>
    <row r="242" spans="1:25"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row>
    <row r="243" spans="1:25"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row>
    <row r="244" spans="1:25"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row>
    <row r="245" spans="1:2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row>
    <row r="246" spans="1:25"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row>
    <row r="247" spans="1:25"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row>
    <row r="248" spans="1:25"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row>
    <row r="249" spans="1:25"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row>
    <row r="250" spans="1:25"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row>
    <row r="251" spans="1:25"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row>
    <row r="252" spans="1:25"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row>
    <row r="253" spans="1:25"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row>
    <row r="254" spans="1:25"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row>
    <row r="255" spans="1:2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row>
    <row r="256" spans="1:25"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row>
    <row r="257" spans="1:25"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row>
    <row r="258" spans="1:25"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row>
    <row r="259" spans="1:25"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row>
    <row r="260" spans="1:25"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row>
    <row r="261" spans="1:25"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row>
    <row r="262" spans="1:25"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row>
    <row r="263" spans="1:25"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row>
    <row r="264" spans="1:25"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row>
    <row r="265" spans="1:2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row>
    <row r="266" spans="1:25"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row>
    <row r="267" spans="1:25"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row>
    <row r="268" spans="1:25"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row>
    <row r="269" spans="1:25"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row>
    <row r="270" spans="1:25"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row>
    <row r="271" spans="1:25"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row>
    <row r="272" spans="1:25"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row>
    <row r="273" spans="1:25"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row>
    <row r="274" spans="1:25"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row>
    <row r="275" spans="1:2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row>
    <row r="276" spans="1:25"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row>
    <row r="277" spans="1:25"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row>
    <row r="278" spans="1:25"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row>
    <row r="279" spans="1:25"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row>
    <row r="280" spans="1:25"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row>
    <row r="281" spans="1:25"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row>
    <row r="282" spans="1:25"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row>
    <row r="283" spans="1:25"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row>
    <row r="284" spans="1:25"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row>
    <row r="285" spans="1:2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row>
    <row r="286" spans="1:25"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row>
    <row r="287" spans="1:25"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row>
    <row r="288" spans="1:25"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row>
    <row r="289" spans="1:25"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row>
    <row r="290" spans="1:25"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row>
    <row r="291" spans="1:25"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row>
    <row r="292" spans="1:25"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row>
    <row r="293" spans="1:25"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row>
    <row r="294" spans="1:25"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row>
    <row r="295" spans="1:2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row>
    <row r="296" spans="1:25"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row>
    <row r="297" spans="1:25"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row>
    <row r="298" spans="1:25"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row>
    <row r="299" spans="1:25"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row>
    <row r="300" spans="1:25"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row>
    <row r="301" spans="1:25"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row>
    <row r="302" spans="1:25"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row>
    <row r="303" spans="1:25"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row>
    <row r="304" spans="1:25"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row>
    <row r="305" spans="1:2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row>
    <row r="306" spans="1:25"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row>
    <row r="307" spans="1:25"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row>
    <row r="308" spans="1:25"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row>
    <row r="309" spans="1:25"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row>
    <row r="310" spans="1:25"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row>
    <row r="311" spans="1:25"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row>
    <row r="312" spans="1:25"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row>
    <row r="313" spans="1:25"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row>
    <row r="314" spans="1:25"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row>
    <row r="315" spans="1:2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row>
    <row r="316" spans="1:25"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row>
    <row r="317" spans="1:25"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row>
    <row r="318" spans="1:25"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row>
    <row r="319" spans="1:25"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row>
    <row r="320" spans="1:25"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row>
    <row r="321" spans="1:25"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row>
    <row r="322" spans="1:25"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row>
    <row r="323" spans="1:25"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row>
    <row r="324" spans="1:25"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row>
    <row r="325" spans="1: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row>
    <row r="326" spans="1:25"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row>
    <row r="327" spans="1:25"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row>
    <row r="328" spans="1:25"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row>
    <row r="329" spans="1:25"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row>
    <row r="330" spans="1:25"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row>
    <row r="331" spans="1:25"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row>
    <row r="332" spans="1:25"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row>
    <row r="333" spans="1:25"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row>
    <row r="334" spans="1:25"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row>
    <row r="335" spans="1:2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row>
    <row r="336" spans="1:25"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row>
    <row r="337" spans="1:25"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row>
    <row r="338" spans="1:25"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row>
    <row r="339" spans="1:25"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row>
    <row r="340" spans="1:25"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row>
    <row r="341" spans="1:25"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row>
    <row r="342" spans="1:25"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row>
    <row r="343" spans="1:25"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row>
    <row r="344" spans="1:25"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row>
    <row r="345" spans="1:2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row>
    <row r="346" spans="1:25"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row>
    <row r="347" spans="1:25"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row>
    <row r="348" spans="1:25"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row>
    <row r="349" spans="1:25"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row>
    <row r="350" spans="1:25"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row>
    <row r="351" spans="1:25"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row>
    <row r="352" spans="1:25"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row>
    <row r="353" spans="1:25"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row>
    <row r="354" spans="1:25"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row>
    <row r="355" spans="1:2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row>
    <row r="356" spans="1:25"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row>
    <row r="357" spans="1:25"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row>
    <row r="358" spans="1:25"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row>
    <row r="359" spans="1:25"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row>
    <row r="360" spans="1:25"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row>
    <row r="361" spans="1:25"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row>
    <row r="362" spans="1:25"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row>
    <row r="363" spans="1:25"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row>
    <row r="364" spans="1:25"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row>
    <row r="365" spans="1:2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row>
    <row r="366" spans="1:25"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row>
    <row r="367" spans="1:25"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row>
    <row r="368" spans="1:25"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row>
    <row r="369" spans="1:25"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row>
    <row r="370" spans="1:25"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row>
    <row r="371" spans="1:25"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row>
    <row r="372" spans="1:25"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row>
    <row r="373" spans="1:25"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row>
    <row r="374" spans="1:25"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row>
    <row r="375" spans="1:2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row>
    <row r="376" spans="1:25"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row>
    <row r="377" spans="1:25"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row>
    <row r="378" spans="1:25"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row>
    <row r="379" spans="1:25"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row>
    <row r="380" spans="1:25"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row>
    <row r="381" spans="1:25"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row>
    <row r="382" spans="1:25"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row>
    <row r="383" spans="1:25"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row>
    <row r="384" spans="1:25"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row>
    <row r="385" spans="1:2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row>
    <row r="386" spans="1:25"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row>
    <row r="387" spans="1:25"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row>
    <row r="388" spans="1:25"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row>
    <row r="389" spans="1:25"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row>
    <row r="390" spans="1:25"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row>
    <row r="391" spans="1:25"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row>
    <row r="392" spans="1:25"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row>
    <row r="393" spans="1:25"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row>
    <row r="394" spans="1:25"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row>
    <row r="395" spans="1:2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row>
    <row r="396" spans="1:25"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row>
    <row r="397" spans="1:25"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row>
    <row r="398" spans="1:25"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row>
    <row r="399" spans="1:25"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row>
    <row r="400" spans="1:25"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row>
    <row r="401" spans="1:25"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row>
    <row r="402" spans="1:25"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row>
    <row r="403" spans="1:25"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row>
    <row r="404" spans="1:25"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row>
    <row r="405" spans="1:2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row>
    <row r="406" spans="1:25"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row>
    <row r="407" spans="1:25"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row>
    <row r="408" spans="1:25"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row>
    <row r="409" spans="1:25"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row>
    <row r="410" spans="1:25"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row>
    <row r="411" spans="1:25"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row>
    <row r="412" spans="1:25"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row>
    <row r="413" spans="1:25"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row>
    <row r="414" spans="1:25"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row>
    <row r="415" spans="1:2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row>
    <row r="416" spans="1:25"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row>
    <row r="417" spans="1:25"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row>
    <row r="418" spans="1:25"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row>
    <row r="419" spans="1:25"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row>
    <row r="420" spans="1:25"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row>
    <row r="421" spans="1:25"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row>
    <row r="422" spans="1:25"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row>
    <row r="423" spans="1:25"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row>
    <row r="424" spans="1:25"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row>
    <row r="425" spans="1: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row>
    <row r="426" spans="1:25"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row>
    <row r="427" spans="1:25"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row>
    <row r="428" spans="1:25"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row>
    <row r="429" spans="1:25"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row>
    <row r="430" spans="1:25"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row>
    <row r="431" spans="1:25"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row>
    <row r="432" spans="1:25"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row>
    <row r="433" spans="1:25"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row>
    <row r="434" spans="1:25"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row>
    <row r="435" spans="1:2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row>
    <row r="436" spans="1:25"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row>
    <row r="437" spans="1:25"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row>
    <row r="438" spans="1:25"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row>
    <row r="439" spans="1:25"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row>
    <row r="440" spans="1:25"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row>
    <row r="441" spans="1:25"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row>
    <row r="442" spans="1:25"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row>
    <row r="443" spans="1:25"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row>
    <row r="444" spans="1:25"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row>
    <row r="445" spans="1:2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row>
    <row r="446" spans="1:25"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row>
    <row r="447" spans="1:25"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row>
    <row r="448" spans="1:25"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row>
    <row r="449" spans="1:25"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row>
    <row r="450" spans="1:25"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row>
    <row r="451" spans="1:25"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row>
    <row r="452" spans="1:25"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row>
    <row r="453" spans="1:25"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row>
    <row r="454" spans="1:25"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row>
    <row r="455" spans="1:2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row>
    <row r="456" spans="1:25"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row>
    <row r="457" spans="1:25"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row>
    <row r="458" spans="1:25"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row>
    <row r="459" spans="1:25"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row>
    <row r="460" spans="1:25"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row>
    <row r="461" spans="1:25"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row>
    <row r="462" spans="1:25"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row>
    <row r="463" spans="1:25"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row>
    <row r="464" spans="1:25"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row>
    <row r="465" spans="1:2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row>
    <row r="466" spans="1:25"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row>
    <row r="467" spans="1:25"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row>
    <row r="468" spans="1:25"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row>
    <row r="469" spans="1:25"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row>
    <row r="470" spans="1:25"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row>
    <row r="471" spans="1:25"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row>
    <row r="472" spans="1:25"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row>
    <row r="473" spans="1:25"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row>
    <row r="474" spans="1:25"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row>
    <row r="475" spans="1:2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row>
    <row r="476" spans="1:25"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row>
    <row r="477" spans="1:25"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row>
    <row r="478" spans="1:25"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row>
    <row r="479" spans="1:25"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row>
    <row r="480" spans="1:25"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row>
    <row r="481" spans="1:25"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row>
    <row r="482" spans="1:25"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row>
    <row r="483" spans="1:25"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row>
    <row r="484" spans="1:25"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row>
    <row r="485" spans="1:2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row>
    <row r="486" spans="1:25"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row>
    <row r="487" spans="1:25"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row>
    <row r="488" spans="1:25"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row>
    <row r="489" spans="1:25"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row>
    <row r="490" spans="1:25"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row>
    <row r="491" spans="1:25"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row>
    <row r="492" spans="1:25"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row>
    <row r="493" spans="1:25"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row>
    <row r="494" spans="1:25"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row>
    <row r="495" spans="1:2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row>
    <row r="496" spans="1:25"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row>
    <row r="497" spans="1:25"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row>
    <row r="498" spans="1:25"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row>
    <row r="499" spans="1:25"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row>
    <row r="500" spans="1:25"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row>
    <row r="501" spans="1:25"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row>
    <row r="502" spans="1:25"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row>
    <row r="503" spans="1:25"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row>
    <row r="504" spans="1:25"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row>
    <row r="505" spans="1:2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row>
    <row r="506" spans="1:25"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row>
    <row r="507" spans="1:25"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row>
    <row r="508" spans="1:25"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row>
    <row r="509" spans="1:25"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row>
    <row r="510" spans="1:25"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row>
    <row r="511" spans="1:25"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row>
    <row r="512" spans="1:25"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row>
    <row r="513" spans="1:25"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row>
    <row r="514" spans="1:25"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row>
    <row r="515" spans="1:2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row>
    <row r="516" spans="1:25"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row>
    <row r="517" spans="1:25"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row>
    <row r="518" spans="1:25"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row>
    <row r="519" spans="1:25"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row>
    <row r="520" spans="1:25"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row>
    <row r="521" spans="1:25"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row>
    <row r="522" spans="1:25"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row>
    <row r="523" spans="1:25"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row>
    <row r="524" spans="1:25"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row>
    <row r="525" spans="1: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row>
    <row r="526" spans="1:25"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row>
    <row r="527" spans="1:25"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row>
    <row r="528" spans="1:25"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row>
    <row r="529" spans="1:25"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row>
    <row r="530" spans="1:25"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row>
    <row r="531" spans="1:25"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row>
    <row r="532" spans="1:25"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row>
    <row r="533" spans="1:25"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row>
    <row r="534" spans="1:25"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row>
    <row r="535" spans="1:2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row>
    <row r="536" spans="1:25"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row>
    <row r="537" spans="1:25"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row>
    <row r="538" spans="1:25"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row>
    <row r="539" spans="1:25"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row>
    <row r="540" spans="1:25"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row>
    <row r="541" spans="1:25"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row>
    <row r="542" spans="1:25"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row>
    <row r="543" spans="1:25"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row>
    <row r="544" spans="1:25"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row>
    <row r="545" spans="1:2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row>
    <row r="546" spans="1:25"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row>
    <row r="547" spans="1:25"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row>
    <row r="548" spans="1:25"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row>
    <row r="549" spans="1:25"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row>
    <row r="550" spans="1:25"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row>
    <row r="551" spans="1:25"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row>
    <row r="552" spans="1:25"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row>
    <row r="553" spans="1:25"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row>
    <row r="554" spans="1:25"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row>
    <row r="555" spans="1:2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row>
    <row r="556" spans="1:25"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row>
    <row r="557" spans="1:25"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row>
    <row r="558" spans="1:25"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row>
    <row r="559" spans="1:25"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row>
    <row r="560" spans="1:25"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row>
    <row r="561" spans="1:25"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row>
    <row r="562" spans="1:25"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row>
    <row r="563" spans="1:25"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row>
    <row r="564" spans="1:25"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row>
    <row r="565" spans="1:2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row>
    <row r="566" spans="1:25"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row>
    <row r="567" spans="1:25"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row>
    <row r="568" spans="1:25"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row>
    <row r="569" spans="1:25"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row>
    <row r="570" spans="1:25"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row>
    <row r="571" spans="1:25"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row>
    <row r="572" spans="1:25"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row>
    <row r="573" spans="1:25"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row>
    <row r="574" spans="1:25"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row>
    <row r="575" spans="1:2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row>
    <row r="576" spans="1:25"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row>
    <row r="577" spans="1:25"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row>
    <row r="578" spans="1:25"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row>
    <row r="579" spans="1:25"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row>
    <row r="580" spans="1:25"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row>
    <row r="581" spans="1:25"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row>
    <row r="582" spans="1:25"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row>
    <row r="583" spans="1:25"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row>
    <row r="584" spans="1:25"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row>
    <row r="585" spans="1:2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row>
    <row r="586" spans="1:25"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row>
    <row r="587" spans="1:25"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row>
    <row r="588" spans="1:25"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row>
    <row r="589" spans="1:25"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row>
    <row r="590" spans="1:25"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row>
    <row r="591" spans="1:25"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row>
    <row r="592" spans="1:25"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row>
    <row r="593" spans="1:25"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row>
    <row r="594" spans="1:25"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row>
    <row r="595" spans="1:2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row>
    <row r="596" spans="1:25"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row>
    <row r="597" spans="1:25"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row>
    <row r="598" spans="1:25"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row>
    <row r="599" spans="1:25"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row>
    <row r="600" spans="1:25"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row>
    <row r="601" spans="1:25"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row>
    <row r="602" spans="1:25"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row>
    <row r="603" spans="1:25"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row>
    <row r="604" spans="1:25"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row>
    <row r="605" spans="1:2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row>
    <row r="606" spans="1:25"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row>
    <row r="607" spans="1:25"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row>
    <row r="608" spans="1:25"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row>
    <row r="609" spans="1:25"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row>
    <row r="610" spans="1:25"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row>
    <row r="611" spans="1:25"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row>
    <row r="612" spans="1:25"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row>
    <row r="613" spans="1:25"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row>
    <row r="614" spans="1:25"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row>
    <row r="615" spans="1:2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row>
    <row r="616" spans="1:25"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row>
    <row r="617" spans="1:25"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row>
    <row r="618" spans="1:25"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row>
    <row r="619" spans="1:25"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row>
    <row r="620" spans="1:25"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row>
    <row r="621" spans="1:25"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row>
    <row r="622" spans="1:25"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row>
    <row r="623" spans="1:25"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row>
    <row r="624" spans="1:25"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row>
    <row r="625" spans="1: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row>
    <row r="626" spans="1:25"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row>
    <row r="627" spans="1:25"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row>
    <row r="628" spans="1:25"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row>
    <row r="629" spans="1:25"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row>
    <row r="630" spans="1:25"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row>
    <row r="631" spans="1:25"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row>
    <row r="632" spans="1:25"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row>
    <row r="633" spans="1:25"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row>
    <row r="634" spans="1:25"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row>
    <row r="635" spans="1:2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row>
    <row r="636" spans="1:25"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row>
    <row r="637" spans="1:25"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row>
    <row r="638" spans="1:25"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row>
    <row r="639" spans="1:25"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row>
    <row r="640" spans="1:25"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row>
    <row r="641" spans="1:25"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row>
    <row r="642" spans="1:25"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row>
    <row r="643" spans="1:25"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row>
    <row r="644" spans="1:25"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row>
    <row r="645" spans="1:2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row>
    <row r="646" spans="1:25"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row>
    <row r="647" spans="1:25"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row>
    <row r="648" spans="1:25"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row>
    <row r="649" spans="1:25"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row>
    <row r="650" spans="1:25"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row>
    <row r="651" spans="1:25"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row>
    <row r="652" spans="1:25"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row>
    <row r="653" spans="1:25"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row>
    <row r="654" spans="1:25"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row>
    <row r="655" spans="1:2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row>
    <row r="656" spans="1:25"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row>
    <row r="657" spans="1:25"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row>
    <row r="658" spans="1:25"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row>
    <row r="659" spans="1:25"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row>
    <row r="660" spans="1:25"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row>
    <row r="661" spans="1:25"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row>
    <row r="662" spans="1:25"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row>
    <row r="663" spans="1:25"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row>
    <row r="664" spans="1:25"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row>
    <row r="665" spans="1:2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row>
    <row r="666" spans="1:25"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row>
    <row r="667" spans="1:25"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row>
    <row r="668" spans="1:25"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row>
    <row r="669" spans="1:25"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row>
    <row r="670" spans="1:25"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row>
    <row r="671" spans="1:25"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row>
    <row r="672" spans="1:25"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row>
    <row r="673" spans="1:25"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row>
    <row r="674" spans="1:25"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row>
    <row r="675" spans="1:2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row>
    <row r="676" spans="1:25"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row>
    <row r="677" spans="1:25"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row>
    <row r="678" spans="1:25"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row>
    <row r="679" spans="1:25"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row>
    <row r="680" spans="1:25"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row>
    <row r="681" spans="1:25"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row>
    <row r="682" spans="1:25"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row>
    <row r="683" spans="1:25"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row>
    <row r="684" spans="1:25"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row>
    <row r="685" spans="1:2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row>
    <row r="686" spans="1:25"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row>
    <row r="687" spans="1:25"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row>
    <row r="688" spans="1:25"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row>
    <row r="689" spans="1:25"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row>
    <row r="690" spans="1:25"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row>
    <row r="691" spans="1:25"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row>
    <row r="692" spans="1:25"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row>
    <row r="693" spans="1:25"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row>
    <row r="694" spans="1:25"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row>
    <row r="695" spans="1:2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row>
    <row r="696" spans="1:25"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row>
    <row r="697" spans="1:25"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row>
    <row r="698" spans="1:25"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row>
    <row r="699" spans="1:25"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row>
    <row r="700" spans="1:25"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row>
    <row r="701" spans="1:25"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row>
    <row r="702" spans="1:25"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row>
    <row r="703" spans="1:25"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row>
    <row r="704" spans="1:25"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row>
    <row r="705" spans="1:2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row>
    <row r="706" spans="1:25"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row>
    <row r="707" spans="1:25"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row>
    <row r="708" spans="1:25"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row>
    <row r="709" spans="1:25"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row>
    <row r="710" spans="1:25"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row>
    <row r="711" spans="1:25"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row>
    <row r="712" spans="1:25"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row>
    <row r="713" spans="1:25"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row>
    <row r="714" spans="1:25"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row>
    <row r="715" spans="1:2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row>
    <row r="716" spans="1:25"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row>
    <row r="717" spans="1:25"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row>
    <row r="718" spans="1:25"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row>
    <row r="719" spans="1:25"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row>
    <row r="720" spans="1:25"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row>
    <row r="721" spans="1:25"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row>
    <row r="722" spans="1:25"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row>
    <row r="723" spans="1:25"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row>
    <row r="724" spans="1:25"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row>
    <row r="725" spans="1: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row>
    <row r="726" spans="1:25"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row>
    <row r="727" spans="1:25"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row>
    <row r="728" spans="1:25"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row>
    <row r="729" spans="1:25"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row>
    <row r="730" spans="1:25"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row>
    <row r="731" spans="1:25"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row>
    <row r="732" spans="1:25"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row>
    <row r="733" spans="1:25"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row>
    <row r="734" spans="1:25"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row>
    <row r="735" spans="1:2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row>
    <row r="736" spans="1:25"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row>
    <row r="737" spans="1:25"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row>
    <row r="738" spans="1:25"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row>
    <row r="739" spans="1:25"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row>
    <row r="740" spans="1:25"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row>
    <row r="741" spans="1:25"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row>
    <row r="742" spans="1:25"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row>
    <row r="743" spans="1:25"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row>
    <row r="744" spans="1:25"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row>
    <row r="745" spans="1:2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row>
    <row r="746" spans="1:25"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row>
    <row r="747" spans="1:25"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row>
    <row r="748" spans="1:25"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row>
    <row r="749" spans="1:25"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row>
    <row r="750" spans="1:25"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row>
    <row r="751" spans="1:25"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row>
    <row r="752" spans="1:25"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row>
    <row r="753" spans="1:25"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row>
    <row r="754" spans="1:25"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row>
    <row r="755" spans="1:2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row>
    <row r="756" spans="1:25"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row>
    <row r="757" spans="1:25"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row>
    <row r="758" spans="1:25"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row>
    <row r="759" spans="1:25"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row>
    <row r="760" spans="1:25"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row>
    <row r="761" spans="1:25"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row>
    <row r="762" spans="1:25"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row>
    <row r="763" spans="1:25"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row>
    <row r="764" spans="1:25"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row>
    <row r="765" spans="1:2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row>
    <row r="766" spans="1:25"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row>
    <row r="767" spans="1:25"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row>
    <row r="768" spans="1:25"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row>
    <row r="769" spans="1:25"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row>
    <row r="770" spans="1:25"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row>
    <row r="771" spans="1:25"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row>
    <row r="772" spans="1:25"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row>
    <row r="773" spans="1:25"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row>
    <row r="774" spans="1:25"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row>
    <row r="775" spans="1:2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row>
    <row r="776" spans="1:25"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row>
    <row r="777" spans="1:25"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row>
    <row r="778" spans="1:25"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row>
    <row r="779" spans="1:25"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row>
    <row r="780" spans="1:25"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row>
    <row r="781" spans="1:25"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row>
    <row r="782" spans="1:25"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row>
    <row r="783" spans="1:25"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row>
    <row r="784" spans="1:25"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row>
    <row r="785" spans="1:2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row>
    <row r="786" spans="1:25"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row>
    <row r="787" spans="1:25"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row>
    <row r="788" spans="1:25"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row>
    <row r="789" spans="1:25"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row>
    <row r="790" spans="1:25"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row>
    <row r="791" spans="1:25"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row>
    <row r="792" spans="1:25"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row>
    <row r="793" spans="1:25"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row>
    <row r="794" spans="1:25"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row>
    <row r="795" spans="1:2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row>
    <row r="796" spans="1:25"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row>
    <row r="797" spans="1:25"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row>
    <row r="798" spans="1:25"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row>
    <row r="799" spans="1:25"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row>
    <row r="800" spans="1:25"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row>
    <row r="801" spans="1:25"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row>
    <row r="802" spans="1:25"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row>
    <row r="803" spans="1:25"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row>
    <row r="804" spans="1:25"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row>
    <row r="805" spans="1:2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row>
    <row r="806" spans="1:25"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row>
    <row r="807" spans="1:25"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row>
    <row r="808" spans="1:25"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row>
    <row r="809" spans="1:25"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row>
    <row r="810" spans="1:25"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row>
    <row r="811" spans="1:25"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row>
    <row r="812" spans="1:25"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row>
    <row r="813" spans="1:25"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row>
    <row r="814" spans="1:25"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row>
    <row r="815" spans="1:2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row>
    <row r="816" spans="1:25"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row>
    <row r="817" spans="1:25"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row>
    <row r="818" spans="1:25"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row>
    <row r="819" spans="1:25"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row>
    <row r="820" spans="1:25"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row>
    <row r="821" spans="1:25"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row>
    <row r="822" spans="1:25"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row>
    <row r="823" spans="1:25"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row>
    <row r="824" spans="1:25"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row>
    <row r="825" spans="1: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row>
    <row r="826" spans="1:25"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row>
    <row r="827" spans="1:25"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row>
    <row r="828" spans="1:25"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row>
    <row r="829" spans="1:25"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row>
    <row r="830" spans="1:25"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row>
    <row r="831" spans="1:25"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row>
    <row r="832" spans="1:25"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row>
    <row r="833" spans="1:25"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row>
    <row r="834" spans="1:25"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row>
    <row r="835" spans="1:2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row>
    <row r="836" spans="1:25"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row>
    <row r="837" spans="1:25"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row>
    <row r="838" spans="1:25"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row>
    <row r="839" spans="1:25"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row>
    <row r="840" spans="1:25"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row>
    <row r="841" spans="1:25"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row>
    <row r="842" spans="1:25"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row>
    <row r="843" spans="1:25"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row>
    <row r="844" spans="1:25"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row>
    <row r="845" spans="1:2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row>
    <row r="846" spans="1:25"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row>
    <row r="847" spans="1:25"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row>
    <row r="848" spans="1:25"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row>
    <row r="849" spans="1:25"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row>
    <row r="850" spans="1:25"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row>
    <row r="851" spans="1:25"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row>
    <row r="852" spans="1:25"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row>
    <row r="853" spans="1:25"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row>
    <row r="854" spans="1:25"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row>
    <row r="855" spans="1:2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row>
    <row r="856" spans="1:25"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row>
    <row r="857" spans="1:25"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row>
    <row r="858" spans="1:25"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row>
    <row r="859" spans="1:25"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row>
    <row r="860" spans="1:25"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row>
    <row r="861" spans="1:25"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row>
    <row r="862" spans="1:25"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row>
    <row r="863" spans="1:25"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row>
    <row r="864" spans="1:25"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row>
    <row r="865" spans="1:2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row>
    <row r="866" spans="1:25"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row>
    <row r="867" spans="1:25"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row>
    <row r="868" spans="1:25"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row>
    <row r="869" spans="1:25"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row>
    <row r="870" spans="1:25"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row>
    <row r="871" spans="1:25"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row>
    <row r="872" spans="1:25"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row>
    <row r="873" spans="1:25"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row>
    <row r="874" spans="1:25"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row>
    <row r="875" spans="1:2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row>
    <row r="876" spans="1:25"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row>
    <row r="877" spans="1:25"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row>
    <row r="878" spans="1:25"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row>
    <row r="879" spans="1:25"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row>
    <row r="880" spans="1:25"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row>
    <row r="881" spans="1:25"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row>
    <row r="882" spans="1:25"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row>
    <row r="883" spans="1:25"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row>
    <row r="884" spans="1:25"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row>
    <row r="885" spans="1:2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row>
    <row r="886" spans="1:25"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row>
    <row r="887" spans="1:25"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row>
    <row r="888" spans="1:25"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row>
    <row r="889" spans="1:25"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row>
    <row r="890" spans="1:25"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row>
    <row r="891" spans="1:25"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row>
    <row r="892" spans="1:25"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row>
    <row r="893" spans="1:25"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row>
    <row r="894" spans="1:25"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row>
    <row r="895" spans="1:2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row>
    <row r="896" spans="1:25"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row>
    <row r="897" spans="1:25"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row>
    <row r="898" spans="1:25"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row>
    <row r="899" spans="1:25"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row>
    <row r="900" spans="1:25"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row>
    <row r="901" spans="1:25"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row>
    <row r="902" spans="1:25"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row>
    <row r="903" spans="1:25"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row>
    <row r="904" spans="1:25"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row>
    <row r="905" spans="1:2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row>
    <row r="906" spans="1:25"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row>
    <row r="907" spans="1:25"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row>
    <row r="908" spans="1:25"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row>
    <row r="909" spans="1:25"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row>
    <row r="910" spans="1:25"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row>
    <row r="911" spans="1:25"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row>
    <row r="912" spans="1:25"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row>
    <row r="913" spans="1:25"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row>
    <row r="914" spans="1:25"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row>
    <row r="915" spans="1:2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row>
    <row r="916" spans="1:25"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row>
    <row r="917" spans="1:25"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row>
    <row r="918" spans="1:25"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row>
    <row r="919" spans="1:25"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row>
    <row r="920" spans="1:25"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row>
    <row r="921" spans="1:25"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row>
    <row r="922" spans="1:25"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row>
    <row r="923" spans="1:25"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row>
    <row r="924" spans="1:25"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row>
    <row r="925" spans="1: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row>
    <row r="926" spans="1:25"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row>
    <row r="927" spans="1:25"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row>
    <row r="928" spans="1:25"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row>
    <row r="929" spans="1:25"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row>
    <row r="930" spans="1:25"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row>
    <row r="931" spans="1:25"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row>
    <row r="932" spans="1:25"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row>
    <row r="933" spans="1:25"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row>
    <row r="934" spans="1:25"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row>
    <row r="935" spans="1:2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row>
    <row r="936" spans="1:25"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row>
    <row r="937" spans="1:25"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row>
    <row r="938" spans="1:25"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row>
    <row r="939" spans="1:25"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row>
    <row r="940" spans="1:25"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row>
    <row r="941" spans="1:25"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row>
    <row r="942" spans="1:25"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row>
    <row r="943" spans="1:25"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row>
    <row r="944" spans="1:25"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row>
    <row r="945" spans="1:2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row>
    <row r="946" spans="1:25"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row>
    <row r="947" spans="1:25"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row>
    <row r="948" spans="1:25"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row>
    <row r="949" spans="1:25"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row>
    <row r="950" spans="1:25"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row>
    <row r="951" spans="1:25"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row>
    <row r="952" spans="1:25"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row>
    <row r="953" spans="1:25"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row>
    <row r="954" spans="1:25"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row>
    <row r="955" spans="1:2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row>
    <row r="956" spans="1:25"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row>
    <row r="957" spans="1:25"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row>
    <row r="958" spans="1:25"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row>
    <row r="959" spans="1:25"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row>
    <row r="960" spans="1:25"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row>
    <row r="961" spans="1:25"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row>
    <row r="962" spans="1:25"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row>
    <row r="963" spans="1:25"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row>
    <row r="964" spans="1:25"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row>
    <row r="965" spans="1:2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row>
    <row r="966" spans="1:25"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row>
    <row r="967" spans="1:25"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row>
    <row r="968" spans="1:25"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row>
    <row r="969" spans="1:25"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row>
    <row r="970" spans="1:25"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row>
    <row r="971" spans="1:25"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row>
    <row r="972" spans="1:25"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row>
    <row r="973" spans="1:25"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row>
    <row r="974" spans="1:25"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row>
    <row r="975" spans="1:2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row>
    <row r="976" spans="1:25"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row>
    <row r="977" spans="1:25"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row>
    <row r="978" spans="1:25"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row>
    <row r="979" spans="1:25"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row>
    <row r="980" spans="1:25"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row>
    <row r="981" spans="1:25"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row>
    <row r="982" spans="1:25"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row>
    <row r="983" spans="1:25"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row>
    <row r="984" spans="1:25"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row>
    <row r="985" spans="1:2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row>
    <row r="986" spans="1:25"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row>
    <row r="987" spans="1:25"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row>
    <row r="988" spans="1:25"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row>
    <row r="989" spans="1:25"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row>
    <row r="990" spans="1:25"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row>
    <row r="991" spans="1:25"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row>
    <row r="992" spans="1:25"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row>
    <row r="993" spans="1:25"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row>
    <row r="994" spans="1:25"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row>
    <row r="995" spans="1:2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row>
    <row r="996" spans="1:25"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row>
    <row r="997" spans="1:25"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row>
    <row r="998" spans="1:25"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row>
    <row r="999" spans="1:25"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row>
    <row r="1000" spans="1:25"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row>
  </sheetData>
  <mergeCells count="5">
    <mergeCell ref="A2:I2"/>
    <mergeCell ref="A3:I3"/>
    <mergeCell ref="A5:E5"/>
    <mergeCell ref="A40:K40"/>
    <mergeCell ref="A62:I62"/>
  </mergeCells>
  <phoneticPr fontId="38" type="noConversion"/>
  <pageMargins left="0.7" right="0.7" top="0.75" bottom="0.75" header="0" footer="0"/>
  <pageSetup orientation="landscape" r:id="rId1"/>
  <headerFooter>
    <oddHeader>&amp;LGuidelines: Feedlot Finishing Cattle Production Costs&amp;R&amp;P</oddHeader>
    <oddFooter>&amp;RManitoba Agriculture, Food and Rural Development</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610C0-DD7A-4F0C-A834-A843FCAC48C2}">
  <sheetPr codeName="Sheet6"/>
  <dimension ref="A1:AQ721"/>
  <sheetViews>
    <sheetView topLeftCell="A4" zoomScale="99" workbookViewId="0">
      <selection activeCell="D9" sqref="D9"/>
    </sheetView>
  </sheetViews>
  <sheetFormatPr defaultRowHeight="15.5"/>
  <cols>
    <col min="1" max="1" width="8" style="116" customWidth="1"/>
    <col min="2" max="2" width="16.9140625" customWidth="1"/>
    <col min="3" max="3" width="13.08203125" customWidth="1"/>
    <col min="4" max="4" width="14.58203125" customWidth="1"/>
    <col min="5" max="5" width="15" customWidth="1"/>
    <col min="6" max="6" width="13.08203125" customWidth="1"/>
    <col min="7" max="7" width="8.58203125" style="113"/>
    <col min="8" max="8" width="8.58203125" style="116"/>
    <col min="9" max="9" width="14.08203125" style="116" customWidth="1"/>
    <col min="10" max="10" width="19.4140625" style="116" customWidth="1"/>
    <col min="11" max="11" width="20.5" style="116" customWidth="1"/>
    <col min="12" max="12" width="9.08203125" style="116" customWidth="1"/>
    <col min="13" max="13" width="14.08203125" style="119" customWidth="1"/>
    <col min="14" max="14" width="11" style="119" customWidth="1"/>
    <col min="15" max="15" width="16.08203125" style="119" customWidth="1"/>
    <col min="16" max="16" width="10.58203125" style="119" customWidth="1"/>
    <col min="18" max="18" width="8.9140625" style="125" bestFit="1" customWidth="1"/>
    <col min="19" max="20" width="13.5" bestFit="1" customWidth="1"/>
    <col min="21" max="21" width="10.9140625" bestFit="1" customWidth="1"/>
    <col min="22" max="22" width="13.5" bestFit="1" customWidth="1"/>
    <col min="23" max="23" width="12.4140625" bestFit="1" customWidth="1"/>
    <col min="24" max="24" width="13.5" bestFit="1" customWidth="1"/>
    <col min="25" max="25" width="14.5" bestFit="1" customWidth="1"/>
    <col min="26" max="26" width="13.5" bestFit="1" customWidth="1"/>
    <col min="27" max="27" width="8.9140625" bestFit="1" customWidth="1"/>
    <col min="28" max="28" width="16" customWidth="1"/>
    <col min="29" max="31" width="8.9140625" bestFit="1" customWidth="1"/>
    <col min="32" max="33" width="9.9140625" bestFit="1" customWidth="1"/>
    <col min="34" max="35" width="8.9140625" bestFit="1" customWidth="1"/>
    <col min="36" max="36" width="9.9140625" bestFit="1" customWidth="1"/>
    <col min="38" max="39" width="14.08203125" customWidth="1"/>
    <col min="40" max="40" width="12" customWidth="1"/>
    <col min="41" max="41" width="12.58203125" customWidth="1"/>
    <col min="42" max="42" width="13.5" customWidth="1"/>
    <col min="43" max="43" width="13.08203125" customWidth="1"/>
  </cols>
  <sheetData>
    <row r="1" spans="1:43">
      <c r="A1" s="111" t="s">
        <v>313</v>
      </c>
      <c r="B1" s="112" t="s">
        <v>314</v>
      </c>
      <c r="C1" s="112" t="s">
        <v>315</v>
      </c>
      <c r="D1" s="112" t="s">
        <v>316</v>
      </c>
      <c r="E1" s="112" t="s">
        <v>317</v>
      </c>
      <c r="H1" s="111" t="s">
        <v>318</v>
      </c>
      <c r="I1" s="111" t="s">
        <v>319</v>
      </c>
      <c r="J1" s="111" t="s">
        <v>314</v>
      </c>
      <c r="K1" s="111" t="s">
        <v>320</v>
      </c>
      <c r="L1" s="111" t="s">
        <v>321</v>
      </c>
      <c r="M1" s="114" t="s">
        <v>322</v>
      </c>
      <c r="N1" s="114" t="s">
        <v>323</v>
      </c>
      <c r="O1" s="114" t="s">
        <v>324</v>
      </c>
      <c r="P1" s="114" t="s">
        <v>325</v>
      </c>
      <c r="R1" s="140"/>
      <c r="S1" s="114"/>
      <c r="T1" s="114"/>
      <c r="U1" s="114"/>
      <c r="V1" s="114"/>
      <c r="W1" s="114"/>
      <c r="X1" s="114"/>
      <c r="Y1" s="114"/>
      <c r="Z1" s="114"/>
      <c r="AA1" s="114"/>
      <c r="AB1" s="114"/>
      <c r="AC1" s="114"/>
      <c r="AD1" s="114"/>
      <c r="AE1" s="114"/>
      <c r="AF1" s="114"/>
      <c r="AG1" s="114"/>
      <c r="AH1" s="114"/>
      <c r="AI1" s="114"/>
      <c r="AJ1" s="114"/>
      <c r="AL1" s="112"/>
      <c r="AM1" s="115"/>
      <c r="AN1" s="115"/>
      <c r="AO1" s="115"/>
      <c r="AP1" s="115"/>
      <c r="AQ1" s="115"/>
    </row>
    <row r="2" spans="1:43">
      <c r="A2" s="116">
        <v>2021</v>
      </c>
      <c r="B2" t="s">
        <v>30</v>
      </c>
      <c r="C2" s="117" t="s">
        <v>31</v>
      </c>
      <c r="D2">
        <f>Summary!H8</f>
        <v>0</v>
      </c>
      <c r="E2">
        <f>D2*1.02</f>
        <v>0</v>
      </c>
      <c r="H2" s="116">
        <v>2021</v>
      </c>
      <c r="I2" s="116" t="s">
        <v>326</v>
      </c>
      <c r="J2" s="116" t="s">
        <v>30</v>
      </c>
      <c r="K2" s="118" t="s">
        <v>31</v>
      </c>
      <c r="L2" s="116">
        <f>(Input!D30*500*30)/1000</f>
        <v>0</v>
      </c>
      <c r="M2" s="119">
        <f t="shared" ref="M2:M19" ca="1" si="0">S14</f>
        <v>0</v>
      </c>
      <c r="N2" s="119">
        <v>0</v>
      </c>
      <c r="O2" s="119">
        <v>0</v>
      </c>
      <c r="P2" s="119" t="s">
        <v>327</v>
      </c>
    </row>
    <row r="3" spans="1:43">
      <c r="A3" s="116">
        <v>2021</v>
      </c>
      <c r="B3" t="s">
        <v>30</v>
      </c>
      <c r="C3" s="117" t="s">
        <v>328</v>
      </c>
      <c r="D3">
        <f>Summary!H9</f>
        <v>36000</v>
      </c>
      <c r="E3">
        <f t="shared" ref="E3:E66" si="1">D3*1.02</f>
        <v>36720</v>
      </c>
      <c r="H3" s="116">
        <v>2021</v>
      </c>
      <c r="I3" s="116" t="s">
        <v>326</v>
      </c>
      <c r="J3" s="116" t="s">
        <v>30</v>
      </c>
      <c r="K3" s="118" t="s">
        <v>328</v>
      </c>
      <c r="L3" s="116">
        <f>(Input!D31*500*30)/1000</f>
        <v>240</v>
      </c>
      <c r="M3" s="119">
        <f t="shared" ca="1" si="0"/>
        <v>6632.5251722567773</v>
      </c>
      <c r="N3" s="119">
        <v>0</v>
      </c>
      <c r="O3" s="119">
        <v>0</v>
      </c>
      <c r="P3" s="119" t="s">
        <v>327</v>
      </c>
    </row>
    <row r="4" spans="1:43">
      <c r="A4" s="116">
        <v>2021</v>
      </c>
      <c r="B4" t="s">
        <v>30</v>
      </c>
      <c r="C4" s="117" t="s">
        <v>329</v>
      </c>
      <c r="D4">
        <f>Summary!H10</f>
        <v>0</v>
      </c>
      <c r="E4">
        <f t="shared" si="1"/>
        <v>0</v>
      </c>
      <c r="H4" s="116">
        <v>2021</v>
      </c>
      <c r="I4" s="116" t="s">
        <v>326</v>
      </c>
      <c r="J4" s="116" t="s">
        <v>30</v>
      </c>
      <c r="K4" s="118" t="s">
        <v>329</v>
      </c>
      <c r="L4" s="116">
        <f>(Input!D32*500*30)/1000</f>
        <v>0</v>
      </c>
      <c r="M4" s="119">
        <f t="shared" ca="1" si="0"/>
        <v>0</v>
      </c>
      <c r="N4" s="119">
        <v>0</v>
      </c>
      <c r="O4" s="119">
        <v>0</v>
      </c>
      <c r="P4" s="119" t="s">
        <v>327</v>
      </c>
    </row>
    <row r="5" spans="1:43">
      <c r="A5" s="116">
        <v>2021</v>
      </c>
      <c r="B5" t="s">
        <v>30</v>
      </c>
      <c r="C5" s="117" t="s">
        <v>330</v>
      </c>
      <c r="D5">
        <f>Summary!H11</f>
        <v>13605</v>
      </c>
      <c r="E5">
        <f t="shared" si="1"/>
        <v>13877.1</v>
      </c>
      <c r="H5" s="116">
        <v>2021</v>
      </c>
      <c r="I5" s="116" t="s">
        <v>326</v>
      </c>
      <c r="J5" s="116" t="s">
        <v>30</v>
      </c>
      <c r="K5" s="118" t="s">
        <v>330</v>
      </c>
      <c r="L5" s="116">
        <f>(Input!D33*500*30)/1000</f>
        <v>15</v>
      </c>
      <c r="M5" s="119">
        <f t="shared" ca="1" si="0"/>
        <v>2506.5418046820405</v>
      </c>
      <c r="N5" s="119">
        <v>0</v>
      </c>
      <c r="O5" s="119">
        <v>0</v>
      </c>
      <c r="P5" s="119" t="s">
        <v>327</v>
      </c>
    </row>
    <row r="6" spans="1:43">
      <c r="A6" s="116">
        <v>2021</v>
      </c>
      <c r="B6" t="s">
        <v>278</v>
      </c>
      <c r="C6" s="117" t="s">
        <v>278</v>
      </c>
      <c r="D6">
        <f>Summary!H14</f>
        <v>1835200</v>
      </c>
      <c r="E6">
        <f t="shared" si="1"/>
        <v>1871904</v>
      </c>
      <c r="H6" s="116">
        <v>2021</v>
      </c>
      <c r="I6" s="116" t="s">
        <v>326</v>
      </c>
      <c r="J6" s="116" t="s">
        <v>278</v>
      </c>
      <c r="K6" s="118" t="s">
        <v>278</v>
      </c>
      <c r="L6" s="116">
        <v>50</v>
      </c>
      <c r="M6" s="119">
        <f t="shared" ca="1" si="0"/>
        <v>338111.39433682326</v>
      </c>
      <c r="N6" s="119">
        <f ca="1">S108</f>
        <v>669335.18930642772</v>
      </c>
      <c r="O6" s="119">
        <f ca="1">S116</f>
        <v>52926.390467977064</v>
      </c>
      <c r="P6" s="119" t="s">
        <v>327</v>
      </c>
    </row>
    <row r="7" spans="1:43">
      <c r="A7" s="116">
        <v>2021</v>
      </c>
      <c r="B7" t="s">
        <v>331</v>
      </c>
      <c r="C7" s="117" t="s">
        <v>332</v>
      </c>
      <c r="D7">
        <f>Summary!H15</f>
        <v>27500</v>
      </c>
      <c r="E7">
        <f t="shared" si="1"/>
        <v>28050</v>
      </c>
      <c r="H7" s="116">
        <v>2021</v>
      </c>
      <c r="I7" s="116" t="s">
        <v>326</v>
      </c>
      <c r="J7" s="116" t="s">
        <v>331</v>
      </c>
      <c r="K7" s="118" t="s">
        <v>332</v>
      </c>
      <c r="L7" s="116">
        <f>(Input!E49*1000)/8</f>
        <v>62.5</v>
      </c>
      <c r="M7" s="119">
        <f t="shared" ca="1" si="0"/>
        <v>5066.512284362816</v>
      </c>
      <c r="N7" s="119">
        <v>0</v>
      </c>
      <c r="O7" s="119">
        <v>0</v>
      </c>
      <c r="P7" s="119" t="s">
        <v>327</v>
      </c>
      <c r="AL7" s="154"/>
      <c r="AM7" s="155"/>
      <c r="AN7" s="155"/>
      <c r="AO7" s="155"/>
      <c r="AP7" s="155"/>
      <c r="AQ7" s="155"/>
    </row>
    <row r="8" spans="1:43">
      <c r="A8" s="116">
        <v>2021</v>
      </c>
      <c r="B8" t="s">
        <v>331</v>
      </c>
      <c r="C8" s="117" t="s">
        <v>333</v>
      </c>
      <c r="D8">
        <f>Summary!H16</f>
        <v>10830</v>
      </c>
      <c r="E8">
        <f t="shared" si="1"/>
        <v>11046.6</v>
      </c>
      <c r="H8" s="116">
        <v>2021</v>
      </c>
      <c r="I8" s="116" t="s">
        <v>326</v>
      </c>
      <c r="J8" s="116" t="s">
        <v>331</v>
      </c>
      <c r="K8" s="118" t="s">
        <v>333</v>
      </c>
      <c r="L8" s="116">
        <v>1</v>
      </c>
      <c r="M8" s="119">
        <f t="shared" ca="1" si="0"/>
        <v>1995.2846559872473</v>
      </c>
      <c r="N8" s="119">
        <v>0</v>
      </c>
      <c r="O8" s="119">
        <v>0</v>
      </c>
      <c r="P8" s="119" t="s">
        <v>327</v>
      </c>
      <c r="AL8" s="154"/>
      <c r="AM8" s="155"/>
      <c r="AN8" s="155"/>
      <c r="AO8" s="155"/>
      <c r="AP8" s="155"/>
      <c r="AQ8" s="155"/>
    </row>
    <row r="9" spans="1:43">
      <c r="A9" s="116">
        <v>2021</v>
      </c>
      <c r="B9" t="s">
        <v>331</v>
      </c>
      <c r="C9" s="117" t="s">
        <v>334</v>
      </c>
      <c r="D9">
        <f>Summary!H17</f>
        <v>3500</v>
      </c>
      <c r="E9">
        <f t="shared" si="1"/>
        <v>3570</v>
      </c>
      <c r="H9" s="116">
        <v>2021</v>
      </c>
      <c r="I9" s="116" t="s">
        <v>326</v>
      </c>
      <c r="J9" s="116" t="s">
        <v>331</v>
      </c>
      <c r="K9" s="118" t="s">
        <v>334</v>
      </c>
      <c r="L9" s="116">
        <v>1</v>
      </c>
      <c r="M9" s="119">
        <f t="shared" ca="1" si="0"/>
        <v>644.82883619163113</v>
      </c>
      <c r="N9" s="119">
        <v>0</v>
      </c>
      <c r="O9" s="119">
        <v>0</v>
      </c>
      <c r="P9" s="119" t="s">
        <v>327</v>
      </c>
      <c r="AL9" s="154"/>
      <c r="AM9" s="155"/>
      <c r="AN9" s="155"/>
      <c r="AO9" s="155"/>
      <c r="AP9" s="155"/>
      <c r="AQ9" s="155"/>
    </row>
    <row r="10" spans="1:43">
      <c r="A10" s="116">
        <v>2021</v>
      </c>
      <c r="B10" t="s">
        <v>331</v>
      </c>
      <c r="C10" s="117" t="s">
        <v>335</v>
      </c>
      <c r="D10">
        <f>Summary!H18</f>
        <v>2500</v>
      </c>
      <c r="E10">
        <f t="shared" si="1"/>
        <v>2550</v>
      </c>
      <c r="H10" s="116">
        <v>2021</v>
      </c>
      <c r="I10" s="116" t="s">
        <v>326</v>
      </c>
      <c r="J10" s="116" t="s">
        <v>331</v>
      </c>
      <c r="K10" s="118" t="s">
        <v>335</v>
      </c>
      <c r="L10" s="116">
        <v>2</v>
      </c>
      <c r="M10" s="119">
        <f t="shared" ca="1" si="0"/>
        <v>460.59202585116509</v>
      </c>
      <c r="N10" s="119">
        <v>0</v>
      </c>
      <c r="O10" s="119">
        <v>0</v>
      </c>
      <c r="P10" s="119" t="s">
        <v>327</v>
      </c>
      <c r="R10" s="140"/>
      <c r="S10" s="112"/>
      <c r="T10" s="112"/>
      <c r="U10" s="112"/>
      <c r="V10" s="112"/>
      <c r="W10" s="112"/>
      <c r="X10" s="112"/>
      <c r="Y10" s="112"/>
      <c r="Z10" s="112"/>
      <c r="AA10" s="112"/>
      <c r="AB10" s="112"/>
      <c r="AC10" s="112"/>
      <c r="AD10" s="112"/>
      <c r="AE10" s="112"/>
      <c r="AF10" s="112"/>
      <c r="AG10" s="112"/>
      <c r="AH10" s="112"/>
      <c r="AI10" s="112"/>
      <c r="AJ10" s="112"/>
      <c r="AL10" s="154"/>
      <c r="AM10" s="155"/>
      <c r="AN10" s="155"/>
      <c r="AO10" s="155"/>
      <c r="AP10" s="155"/>
      <c r="AQ10" s="155"/>
    </row>
    <row r="11" spans="1:43">
      <c r="A11" s="116">
        <v>2021</v>
      </c>
      <c r="B11" t="s">
        <v>331</v>
      </c>
      <c r="C11" s="117" t="s">
        <v>336</v>
      </c>
      <c r="D11">
        <f>Summary!H19</f>
        <v>43432</v>
      </c>
      <c r="E11">
        <f t="shared" si="1"/>
        <v>44300.639999999999</v>
      </c>
      <c r="H11" s="116">
        <v>2021</v>
      </c>
      <c r="I11" s="116" t="s">
        <v>326</v>
      </c>
      <c r="J11" s="116" t="s">
        <v>331</v>
      </c>
      <c r="K11" s="118" t="s">
        <v>336</v>
      </c>
      <c r="L11" s="116">
        <v>2</v>
      </c>
      <c r="M11" s="119">
        <f t="shared" ca="1" si="0"/>
        <v>8001.7731467071217</v>
      </c>
      <c r="N11" s="119">
        <v>0</v>
      </c>
      <c r="O11" s="119">
        <v>0</v>
      </c>
      <c r="P11" s="119" t="s">
        <v>327</v>
      </c>
      <c r="R11" s="140"/>
      <c r="AL11" s="154"/>
      <c r="AM11" s="155"/>
      <c r="AN11" s="155"/>
      <c r="AO11" s="155"/>
      <c r="AP11" s="155"/>
      <c r="AQ11" s="155"/>
    </row>
    <row r="12" spans="1:43">
      <c r="A12" s="116">
        <v>2021</v>
      </c>
      <c r="B12" t="s">
        <v>331</v>
      </c>
      <c r="C12" s="117" t="s">
        <v>337</v>
      </c>
      <c r="D12">
        <f>Summary!H20</f>
        <v>559</v>
      </c>
      <c r="E12">
        <f t="shared" si="1"/>
        <v>570.18000000000006</v>
      </c>
      <c r="H12" s="116">
        <v>2021</v>
      </c>
      <c r="I12" s="116" t="s">
        <v>326</v>
      </c>
      <c r="J12" s="116" t="s">
        <v>331</v>
      </c>
      <c r="K12" s="118" t="s">
        <v>337</v>
      </c>
      <c r="L12" s="116">
        <v>1</v>
      </c>
      <c r="M12" s="119">
        <f t="shared" ca="1" si="0"/>
        <v>102.98837698032052</v>
      </c>
      <c r="N12" s="119">
        <v>0</v>
      </c>
      <c r="O12" s="119">
        <v>0</v>
      </c>
      <c r="P12" s="119" t="s">
        <v>327</v>
      </c>
      <c r="R12" s="140"/>
      <c r="AL12" s="154"/>
      <c r="AM12" s="155"/>
      <c r="AN12" s="155"/>
      <c r="AO12" s="155"/>
      <c r="AP12" s="155"/>
      <c r="AQ12" s="155"/>
    </row>
    <row r="13" spans="1:43">
      <c r="A13" s="116">
        <v>2021</v>
      </c>
      <c r="B13" t="s">
        <v>331</v>
      </c>
      <c r="C13" s="117" t="s">
        <v>338</v>
      </c>
      <c r="D13">
        <f>Summary!H21</f>
        <v>4000</v>
      </c>
      <c r="E13">
        <f t="shared" si="1"/>
        <v>4080</v>
      </c>
      <c r="H13" s="116">
        <v>2021</v>
      </c>
      <c r="I13" s="116" t="s">
        <v>326</v>
      </c>
      <c r="J13" s="116" t="s">
        <v>331</v>
      </c>
      <c r="K13" s="118" t="s">
        <v>338</v>
      </c>
      <c r="L13" s="116">
        <v>4</v>
      </c>
      <c r="M13" s="119">
        <f t="shared" ca="1" si="0"/>
        <v>736.94724136186414</v>
      </c>
      <c r="N13" s="119">
        <v>0</v>
      </c>
      <c r="O13" s="119">
        <v>0</v>
      </c>
      <c r="P13" s="119" t="s">
        <v>327</v>
      </c>
      <c r="R13" s="144" t="s">
        <v>339</v>
      </c>
      <c r="S13" s="145">
        <f ca="1">RAND()</f>
        <v>0.71236414053191621</v>
      </c>
      <c r="T13" s="145">
        <f t="shared" ref="T13:Z13" ca="1" si="2">RAND()</f>
        <v>0.65812921808543212</v>
      </c>
      <c r="U13" s="145">
        <f t="shared" ca="1" si="2"/>
        <v>6.0548265540101287E-2</v>
      </c>
      <c r="V13" s="145">
        <f t="shared" ca="1" si="2"/>
        <v>0.55892467768190768</v>
      </c>
      <c r="W13" s="145">
        <f t="shared" ca="1" si="2"/>
        <v>6.1259134043287755E-2</v>
      </c>
      <c r="X13" s="145">
        <f t="shared" ca="1" si="2"/>
        <v>0.65060558208520258</v>
      </c>
      <c r="Y13" s="145">
        <f t="shared" ca="1" si="2"/>
        <v>0.94710946624606063</v>
      </c>
      <c r="Z13" s="145">
        <f t="shared" ca="1" si="2"/>
        <v>0.2176274357119794</v>
      </c>
      <c r="AA13" s="145"/>
      <c r="AB13" s="146" t="s">
        <v>340</v>
      </c>
      <c r="AL13" s="154"/>
      <c r="AM13" s="155"/>
      <c r="AN13" s="155"/>
      <c r="AO13" s="155"/>
      <c r="AP13" s="155"/>
      <c r="AQ13" s="155"/>
    </row>
    <row r="14" spans="1:43">
      <c r="A14" s="116">
        <v>2021</v>
      </c>
      <c r="B14" t="s">
        <v>331</v>
      </c>
      <c r="C14" s="117" t="s">
        <v>341</v>
      </c>
      <c r="D14">
        <f>Summary!H22</f>
        <v>600</v>
      </c>
      <c r="E14">
        <f t="shared" si="1"/>
        <v>612</v>
      </c>
      <c r="H14" s="116">
        <v>2021</v>
      </c>
      <c r="I14" s="116" t="s">
        <v>326</v>
      </c>
      <c r="J14" s="116" t="s">
        <v>331</v>
      </c>
      <c r="K14" s="118" t="s">
        <v>341</v>
      </c>
      <c r="L14" s="116">
        <v>5</v>
      </c>
      <c r="M14" s="119">
        <f t="shared" ca="1" si="0"/>
        <v>110.54208620427963</v>
      </c>
      <c r="N14" s="119">
        <v>0</v>
      </c>
      <c r="O14" s="119">
        <v>0</v>
      </c>
      <c r="P14" s="119" t="s">
        <v>327</v>
      </c>
      <c r="R14" s="147">
        <f t="shared" ref="R14:R45" si="3">A2</f>
        <v>2021</v>
      </c>
      <c r="S14" s="145">
        <f t="shared" ref="S14:Z14" ca="1" si="4">S13/SUM($S$13:$Z$13)*$D$2</f>
        <v>0</v>
      </c>
      <c r="T14" s="145">
        <f t="shared" ca="1" si="4"/>
        <v>0</v>
      </c>
      <c r="U14" s="145">
        <f t="shared" ca="1" si="4"/>
        <v>0</v>
      </c>
      <c r="V14" s="145">
        <f t="shared" ca="1" si="4"/>
        <v>0</v>
      </c>
      <c r="W14" s="145">
        <f t="shared" ca="1" si="4"/>
        <v>0</v>
      </c>
      <c r="X14" s="145">
        <f t="shared" ca="1" si="4"/>
        <v>0</v>
      </c>
      <c r="Y14" s="145">
        <f t="shared" ca="1" si="4"/>
        <v>0</v>
      </c>
      <c r="Z14" s="145">
        <f t="shared" ca="1" si="4"/>
        <v>0</v>
      </c>
      <c r="AA14" s="145"/>
      <c r="AB14" s="145">
        <f t="shared" ref="AB14:AB45" ca="1" si="5">SUM(S14:Z14)</f>
        <v>0</v>
      </c>
      <c r="AL14" s="111"/>
      <c r="AM14" s="112"/>
      <c r="AN14" s="112"/>
      <c r="AO14" s="112"/>
      <c r="AP14" s="112"/>
      <c r="AQ14" s="112"/>
    </row>
    <row r="15" spans="1:43">
      <c r="A15" s="116">
        <v>2021</v>
      </c>
      <c r="B15" t="s">
        <v>331</v>
      </c>
      <c r="C15" s="117" t="s">
        <v>342</v>
      </c>
      <c r="D15">
        <f>Summary!H23</f>
        <v>18848</v>
      </c>
      <c r="E15">
        <f t="shared" si="1"/>
        <v>19224.96</v>
      </c>
      <c r="H15" s="116">
        <v>2021</v>
      </c>
      <c r="I15" s="116" t="s">
        <v>326</v>
      </c>
      <c r="J15" s="116" t="s">
        <v>331</v>
      </c>
      <c r="K15" s="118" t="s">
        <v>342</v>
      </c>
      <c r="L15" s="116">
        <v>1</v>
      </c>
      <c r="M15" s="119">
        <f t="shared" ca="1" si="0"/>
        <v>3472.4954012971039</v>
      </c>
      <c r="N15" s="119">
        <v>0</v>
      </c>
      <c r="O15" s="119">
        <v>0</v>
      </c>
      <c r="P15" s="119" t="s">
        <v>327</v>
      </c>
      <c r="R15" s="147">
        <f t="shared" si="3"/>
        <v>2021</v>
      </c>
      <c r="S15" s="145">
        <f t="shared" ref="S15:Z15" ca="1" si="6">S13/SUM($S$13:$Z$13)*$D3</f>
        <v>6632.5251722567773</v>
      </c>
      <c r="T15" s="145">
        <f t="shared" ca="1" si="6"/>
        <v>6127.5664469718358</v>
      </c>
      <c r="U15" s="145">
        <f t="shared" ca="1" si="6"/>
        <v>563.73962764513556</v>
      </c>
      <c r="V15" s="145">
        <f t="shared" ca="1" si="6"/>
        <v>5203.9143791723036</v>
      </c>
      <c r="W15" s="145">
        <f t="shared" ca="1" si="6"/>
        <v>570.35822756234666</v>
      </c>
      <c r="X15" s="145">
        <f t="shared" ca="1" si="6"/>
        <v>6057.5170125334889</v>
      </c>
      <c r="Y15" s="145">
        <f t="shared" ca="1" si="6"/>
        <v>8818.1409174655619</v>
      </c>
      <c r="Z15" s="145">
        <f t="shared" ca="1" si="6"/>
        <v>2026.2382163925436</v>
      </c>
      <c r="AA15" s="145"/>
      <c r="AB15" s="145">
        <f t="shared" ca="1" si="5"/>
        <v>35999.999999999993</v>
      </c>
    </row>
    <row r="16" spans="1:43">
      <c r="A16" s="116">
        <v>2021</v>
      </c>
      <c r="B16" t="s">
        <v>343</v>
      </c>
      <c r="C16" s="117" t="s">
        <v>289</v>
      </c>
      <c r="D16">
        <f>Summary!H25</f>
        <v>78348</v>
      </c>
      <c r="E16">
        <f t="shared" si="1"/>
        <v>79914.960000000006</v>
      </c>
      <c r="H16" s="116">
        <v>2021</v>
      </c>
      <c r="I16" s="116" t="s">
        <v>326</v>
      </c>
      <c r="J16" s="116" t="s">
        <v>343</v>
      </c>
      <c r="K16" s="118" t="s">
        <v>289</v>
      </c>
      <c r="L16" s="116">
        <v>2</v>
      </c>
      <c r="M16" s="119">
        <f t="shared" ca="1" si="0"/>
        <v>14434.585616554834</v>
      </c>
      <c r="N16" s="119">
        <v>0</v>
      </c>
      <c r="O16" s="119">
        <v>0</v>
      </c>
      <c r="P16" s="119" t="s">
        <v>327</v>
      </c>
      <c r="R16" s="147">
        <f t="shared" si="3"/>
        <v>2021</v>
      </c>
      <c r="S16" s="145">
        <f t="shared" ref="S16:Z25" ca="1" si="7">S$13/SUM($S$13:$Z$13)*$D4</f>
        <v>0</v>
      </c>
      <c r="T16" s="145">
        <f t="shared" ca="1" si="7"/>
        <v>0</v>
      </c>
      <c r="U16" s="145">
        <f t="shared" ca="1" si="7"/>
        <v>0</v>
      </c>
      <c r="V16" s="145">
        <f t="shared" ca="1" si="7"/>
        <v>0</v>
      </c>
      <c r="W16" s="145">
        <f t="shared" ca="1" si="7"/>
        <v>0</v>
      </c>
      <c r="X16" s="145">
        <f t="shared" ca="1" si="7"/>
        <v>0</v>
      </c>
      <c r="Y16" s="145">
        <f t="shared" ca="1" si="7"/>
        <v>0</v>
      </c>
      <c r="Z16" s="145">
        <f t="shared" ca="1" si="7"/>
        <v>0</v>
      </c>
      <c r="AA16" s="145"/>
      <c r="AB16" s="145">
        <f t="shared" ca="1" si="5"/>
        <v>0</v>
      </c>
    </row>
    <row r="17" spans="1:40">
      <c r="A17" s="116">
        <v>2021</v>
      </c>
      <c r="B17" t="s">
        <v>344</v>
      </c>
      <c r="C17" s="117" t="s">
        <v>291</v>
      </c>
      <c r="D17">
        <f>Summary!H29+Summary!H30</f>
        <v>8192</v>
      </c>
      <c r="E17">
        <f t="shared" si="1"/>
        <v>8355.84</v>
      </c>
      <c r="H17" s="116">
        <v>2021</v>
      </c>
      <c r="I17" s="116" t="s">
        <v>326</v>
      </c>
      <c r="J17" s="116" t="s">
        <v>344</v>
      </c>
      <c r="K17" s="118" t="s">
        <v>291</v>
      </c>
      <c r="L17" s="116">
        <v>2</v>
      </c>
      <c r="M17" s="119">
        <f t="shared" ca="1" si="0"/>
        <v>1509.2679503090978</v>
      </c>
      <c r="N17" s="119">
        <v>0</v>
      </c>
      <c r="O17" s="119">
        <v>0</v>
      </c>
      <c r="P17" s="119" t="s">
        <v>345</v>
      </c>
      <c r="R17" s="147">
        <f t="shared" si="3"/>
        <v>2021</v>
      </c>
      <c r="S17" s="145">
        <f t="shared" ca="1" si="7"/>
        <v>2506.5418046820405</v>
      </c>
      <c r="T17" s="145">
        <f t="shared" ca="1" si="7"/>
        <v>2315.7094864181063</v>
      </c>
      <c r="U17" s="145">
        <f t="shared" ca="1" si="7"/>
        <v>213.04660094755749</v>
      </c>
      <c r="V17" s="145">
        <f t="shared" ca="1" si="7"/>
        <v>1966.6459757955331</v>
      </c>
      <c r="W17" s="145">
        <f t="shared" ca="1" si="7"/>
        <v>215.54788016627018</v>
      </c>
      <c r="X17" s="145">
        <f t="shared" ca="1" si="7"/>
        <v>2289.2366376532809</v>
      </c>
      <c r="Y17" s="145">
        <f t="shared" ca="1" si="7"/>
        <v>3332.5224217255272</v>
      </c>
      <c r="Z17" s="145">
        <f t="shared" ca="1" si="7"/>
        <v>765.74919261168202</v>
      </c>
      <c r="AA17" s="145"/>
      <c r="AB17" s="145">
        <f t="shared" ca="1" si="5"/>
        <v>13604.999999999998</v>
      </c>
    </row>
    <row r="18" spans="1:40">
      <c r="A18" s="116">
        <v>2021</v>
      </c>
      <c r="B18" t="s">
        <v>344</v>
      </c>
      <c r="C18" s="117" t="s">
        <v>292</v>
      </c>
      <c r="D18">
        <f>Summary!H32+Summary!H33</f>
        <v>1842</v>
      </c>
      <c r="E18">
        <f t="shared" si="1"/>
        <v>1878.8400000000001</v>
      </c>
      <c r="H18" s="116">
        <v>2021</v>
      </c>
      <c r="I18" s="116" t="s">
        <v>326</v>
      </c>
      <c r="J18" s="116" t="s">
        <v>344</v>
      </c>
      <c r="K18" s="118" t="s">
        <v>292</v>
      </c>
      <c r="L18" s="116">
        <v>3</v>
      </c>
      <c r="M18" s="119">
        <f t="shared" ca="1" si="0"/>
        <v>339.36420464713848</v>
      </c>
      <c r="N18" s="119">
        <v>0</v>
      </c>
      <c r="O18" s="119">
        <v>0</v>
      </c>
      <c r="P18" s="119" t="s">
        <v>345</v>
      </c>
      <c r="R18" s="147">
        <f t="shared" si="3"/>
        <v>2021</v>
      </c>
      <c r="S18" s="145">
        <f t="shared" ca="1" si="7"/>
        <v>338111.39433682326</v>
      </c>
      <c r="T18" s="145">
        <f t="shared" ca="1" si="7"/>
        <v>312369.72065229755</v>
      </c>
      <c r="U18" s="145">
        <f t="shared" ca="1" si="7"/>
        <v>28738.193462620911</v>
      </c>
      <c r="V18" s="145">
        <f t="shared" ca="1" si="7"/>
        <v>265283.99079602811</v>
      </c>
      <c r="W18" s="145">
        <f t="shared" ca="1" si="7"/>
        <v>29075.594978400517</v>
      </c>
      <c r="X18" s="145">
        <f t="shared" ca="1" si="7"/>
        <v>308798.75615004048</v>
      </c>
      <c r="Y18" s="145">
        <f t="shared" ca="1" si="7"/>
        <v>449529.22810368886</v>
      </c>
      <c r="Z18" s="145">
        <f t="shared" ca="1" si="7"/>
        <v>103293.12152009988</v>
      </c>
      <c r="AA18" s="145"/>
      <c r="AB18" s="145">
        <f t="shared" ca="1" si="5"/>
        <v>1835199.9999999998</v>
      </c>
      <c r="AL18" s="111"/>
      <c r="AM18" s="115"/>
      <c r="AN18" s="115"/>
    </row>
    <row r="19" spans="1:40">
      <c r="A19" s="116">
        <v>2021</v>
      </c>
      <c r="B19" t="s">
        <v>295</v>
      </c>
      <c r="C19" s="117" t="s">
        <v>295</v>
      </c>
      <c r="D19">
        <f>Summary!H37</f>
        <v>40000</v>
      </c>
      <c r="E19">
        <f t="shared" si="1"/>
        <v>40800</v>
      </c>
      <c r="H19" s="116">
        <v>2021</v>
      </c>
      <c r="I19" s="116" t="s">
        <v>326</v>
      </c>
      <c r="J19" s="116" t="s">
        <v>295</v>
      </c>
      <c r="K19" s="118" t="s">
        <v>295</v>
      </c>
      <c r="L19" s="116">
        <v>2</v>
      </c>
      <c r="M19" s="119">
        <f t="shared" ca="1" si="0"/>
        <v>7369.4724136186414</v>
      </c>
      <c r="N19" s="119">
        <v>0</v>
      </c>
      <c r="O19" s="119">
        <v>0</v>
      </c>
      <c r="P19" s="119" t="s">
        <v>327</v>
      </c>
      <c r="R19" s="147">
        <f t="shared" si="3"/>
        <v>2021</v>
      </c>
      <c r="S19" s="145">
        <f t="shared" ca="1" si="7"/>
        <v>5066.512284362816</v>
      </c>
      <c r="T19" s="145">
        <f t="shared" ca="1" si="7"/>
        <v>4680.7799247701523</v>
      </c>
      <c r="U19" s="145">
        <f t="shared" ca="1" si="7"/>
        <v>430.63443778447856</v>
      </c>
      <c r="V19" s="145">
        <f t="shared" ca="1" si="7"/>
        <v>3975.2123729788432</v>
      </c>
      <c r="W19" s="145">
        <f t="shared" ca="1" si="7"/>
        <v>435.69031272123704</v>
      </c>
      <c r="X19" s="145">
        <f t="shared" ca="1" si="7"/>
        <v>4627.2699401297486</v>
      </c>
      <c r="Y19" s="145">
        <f t="shared" ca="1" si="7"/>
        <v>6736.0798675084152</v>
      </c>
      <c r="Z19" s="145">
        <f t="shared" ca="1" si="7"/>
        <v>1547.820859744304</v>
      </c>
      <c r="AA19" s="145"/>
      <c r="AB19" s="145">
        <f t="shared" ca="1" si="5"/>
        <v>27499.999999999996</v>
      </c>
      <c r="AL19" s="120"/>
    </row>
    <row r="20" spans="1:40">
      <c r="A20" s="116">
        <v>2022</v>
      </c>
      <c r="B20" t="s">
        <v>30</v>
      </c>
      <c r="C20" s="117" t="s">
        <v>31</v>
      </c>
      <c r="D20">
        <f>Summary!I8</f>
        <v>0</v>
      </c>
      <c r="E20">
        <f t="shared" si="1"/>
        <v>0</v>
      </c>
      <c r="H20" s="116">
        <v>2021</v>
      </c>
      <c r="I20" s="116" t="s">
        <v>346</v>
      </c>
      <c r="J20" s="116" t="s">
        <v>30</v>
      </c>
      <c r="K20" s="118" t="s">
        <v>31</v>
      </c>
      <c r="L20" s="116">
        <v>255</v>
      </c>
      <c r="M20" s="119">
        <f t="shared" ref="M20:M37" ca="1" si="8">T14</f>
        <v>0</v>
      </c>
      <c r="N20" s="119">
        <v>0</v>
      </c>
      <c r="O20" s="119">
        <v>0</v>
      </c>
      <c r="P20" s="119" t="s">
        <v>327</v>
      </c>
      <c r="R20" s="147">
        <f t="shared" si="3"/>
        <v>2021</v>
      </c>
      <c r="S20" s="145">
        <f t="shared" ca="1" si="7"/>
        <v>1995.2846559872473</v>
      </c>
      <c r="T20" s="145">
        <f t="shared" ca="1" si="7"/>
        <v>1843.3762394640271</v>
      </c>
      <c r="U20" s="145">
        <f t="shared" ca="1" si="7"/>
        <v>169.59167131657827</v>
      </c>
      <c r="V20" s="145">
        <f t="shared" ca="1" si="7"/>
        <v>1565.5109090676681</v>
      </c>
      <c r="W20" s="145">
        <f t="shared" ca="1" si="7"/>
        <v>171.58276679167261</v>
      </c>
      <c r="X20" s="145">
        <f t="shared" ca="1" si="7"/>
        <v>1822.3030346038245</v>
      </c>
      <c r="Y20" s="145">
        <f t="shared" ca="1" si="7"/>
        <v>2652.7907260042234</v>
      </c>
      <c r="Z20" s="145">
        <f t="shared" ca="1" si="7"/>
        <v>609.55999676475687</v>
      </c>
      <c r="AA20" s="145"/>
      <c r="AB20" s="145">
        <f t="shared" ca="1" si="5"/>
        <v>10829.999999999998</v>
      </c>
      <c r="AL20" s="120"/>
    </row>
    <row r="21" spans="1:40">
      <c r="A21" s="116">
        <v>2022</v>
      </c>
      <c r="B21" t="s">
        <v>30</v>
      </c>
      <c r="C21" s="117" t="s">
        <v>328</v>
      </c>
      <c r="D21">
        <f>Summary!I9</f>
        <v>36720</v>
      </c>
      <c r="E21">
        <f t="shared" si="1"/>
        <v>37454.400000000001</v>
      </c>
      <c r="H21" s="116">
        <v>2021</v>
      </c>
      <c r="I21" s="116" t="s">
        <v>346</v>
      </c>
      <c r="J21" s="116" t="s">
        <v>30</v>
      </c>
      <c r="K21" s="118" t="s">
        <v>328</v>
      </c>
      <c r="L21" s="116">
        <v>165</v>
      </c>
      <c r="M21" s="119">
        <f t="shared" ca="1" si="8"/>
        <v>6127.5664469718358</v>
      </c>
      <c r="N21" s="119">
        <v>0</v>
      </c>
      <c r="O21" s="119">
        <v>0</v>
      </c>
      <c r="P21" s="119" t="s">
        <v>327</v>
      </c>
      <c r="R21" s="147">
        <f t="shared" si="3"/>
        <v>2021</v>
      </c>
      <c r="S21" s="145">
        <f t="shared" ca="1" si="7"/>
        <v>644.82883619163113</v>
      </c>
      <c r="T21" s="145">
        <f t="shared" ca="1" si="7"/>
        <v>595.73562678892847</v>
      </c>
      <c r="U21" s="145">
        <f t="shared" ca="1" si="7"/>
        <v>54.808019354388179</v>
      </c>
      <c r="V21" s="145">
        <f t="shared" ca="1" si="7"/>
        <v>505.93612019730733</v>
      </c>
      <c r="W21" s="145">
        <f t="shared" ca="1" si="7"/>
        <v>55.45149434633926</v>
      </c>
      <c r="X21" s="145">
        <f t="shared" ca="1" si="7"/>
        <v>588.92526510742255</v>
      </c>
      <c r="Y21" s="145">
        <f t="shared" ca="1" si="7"/>
        <v>857.31925586470743</v>
      </c>
      <c r="Z21" s="145">
        <f t="shared" ca="1" si="7"/>
        <v>196.99538214927506</v>
      </c>
      <c r="AA21" s="145"/>
      <c r="AB21" s="145">
        <f t="shared" ca="1" si="5"/>
        <v>3499.9999999999991</v>
      </c>
      <c r="AL21" s="120"/>
    </row>
    <row r="22" spans="1:40">
      <c r="A22" s="116">
        <v>2022</v>
      </c>
      <c r="B22" t="s">
        <v>30</v>
      </c>
      <c r="C22" s="117" t="s">
        <v>329</v>
      </c>
      <c r="D22">
        <f>Summary!I10</f>
        <v>0</v>
      </c>
      <c r="E22">
        <f t="shared" si="1"/>
        <v>0</v>
      </c>
      <c r="H22" s="116">
        <v>2021</v>
      </c>
      <c r="I22" s="116" t="s">
        <v>346</v>
      </c>
      <c r="J22" s="116" t="s">
        <v>30</v>
      </c>
      <c r="K22" s="118" t="s">
        <v>329</v>
      </c>
      <c r="L22" s="116">
        <v>75</v>
      </c>
      <c r="M22" s="119">
        <f t="shared" ca="1" si="8"/>
        <v>0</v>
      </c>
      <c r="N22" s="119">
        <v>0</v>
      </c>
      <c r="O22" s="119">
        <v>0</v>
      </c>
      <c r="P22" s="119" t="s">
        <v>327</v>
      </c>
      <c r="R22" s="147">
        <f t="shared" si="3"/>
        <v>2021</v>
      </c>
      <c r="S22" s="145">
        <f t="shared" ca="1" si="7"/>
        <v>460.59202585116509</v>
      </c>
      <c r="T22" s="145">
        <f t="shared" ca="1" si="7"/>
        <v>425.52544770637746</v>
      </c>
      <c r="U22" s="145">
        <f t="shared" ca="1" si="7"/>
        <v>39.148585253134414</v>
      </c>
      <c r="V22" s="145">
        <f t="shared" ca="1" si="7"/>
        <v>361.38294299807666</v>
      </c>
      <c r="W22" s="145">
        <f t="shared" ca="1" si="7"/>
        <v>39.60821024738518</v>
      </c>
      <c r="X22" s="145">
        <f t="shared" ca="1" si="7"/>
        <v>420.66090364815892</v>
      </c>
      <c r="Y22" s="145">
        <f t="shared" ca="1" si="7"/>
        <v>612.37089704621962</v>
      </c>
      <c r="Z22" s="145">
        <f t="shared" ca="1" si="7"/>
        <v>140.71098724948217</v>
      </c>
      <c r="AA22" s="145"/>
      <c r="AB22" s="145">
        <f t="shared" ca="1" si="5"/>
        <v>2499.9999999999991</v>
      </c>
      <c r="AL22" s="120"/>
    </row>
    <row r="23" spans="1:40">
      <c r="A23" s="116">
        <v>2022</v>
      </c>
      <c r="B23" t="s">
        <v>30</v>
      </c>
      <c r="C23" s="117" t="s">
        <v>330</v>
      </c>
      <c r="D23">
        <f>Summary!I11</f>
        <v>13877.1</v>
      </c>
      <c r="E23">
        <f t="shared" si="1"/>
        <v>14154.642</v>
      </c>
      <c r="H23" s="116">
        <v>2021</v>
      </c>
      <c r="I23" s="116" t="s">
        <v>346</v>
      </c>
      <c r="J23" s="116" t="s">
        <v>30</v>
      </c>
      <c r="K23" s="118" t="s">
        <v>330</v>
      </c>
      <c r="L23" s="116">
        <v>15</v>
      </c>
      <c r="M23" s="119">
        <f t="shared" ca="1" si="8"/>
        <v>2315.7094864181063</v>
      </c>
      <c r="N23" s="119">
        <v>0</v>
      </c>
      <c r="O23" s="119">
        <v>0</v>
      </c>
      <c r="P23" s="119" t="s">
        <v>327</v>
      </c>
      <c r="R23" s="147">
        <f t="shared" si="3"/>
        <v>2021</v>
      </c>
      <c r="S23" s="145">
        <f t="shared" ca="1" si="7"/>
        <v>8001.7731467071217</v>
      </c>
      <c r="T23" s="145">
        <f t="shared" ca="1" si="7"/>
        <v>7392.5684979133539</v>
      </c>
      <c r="U23" s="145">
        <f t="shared" ca="1" si="7"/>
        <v>680.12054188565355</v>
      </c>
      <c r="V23" s="145">
        <f t="shared" ca="1" si="7"/>
        <v>6278.2335921169861</v>
      </c>
      <c r="W23" s="145">
        <f t="shared" ca="1" si="7"/>
        <v>688.10551498577331</v>
      </c>
      <c r="X23" s="145">
        <f t="shared" ca="1" si="7"/>
        <v>7308.0577468987358</v>
      </c>
      <c r="Y23" s="145">
        <f t="shared" ca="1" si="7"/>
        <v>10638.597120204564</v>
      </c>
      <c r="Z23" s="145">
        <f t="shared" ca="1" si="7"/>
        <v>2444.5438392878041</v>
      </c>
      <c r="AA23" s="145"/>
      <c r="AB23" s="145">
        <f t="shared" ca="1" si="5"/>
        <v>43431.999999999993</v>
      </c>
      <c r="AL23" s="120"/>
    </row>
    <row r="24" spans="1:40">
      <c r="A24" s="116">
        <v>2022</v>
      </c>
      <c r="B24" t="s">
        <v>278</v>
      </c>
      <c r="C24" s="117" t="s">
        <v>278</v>
      </c>
      <c r="D24">
        <f>Summary!I14</f>
        <v>1871904</v>
      </c>
      <c r="E24">
        <f t="shared" si="1"/>
        <v>1909342.08</v>
      </c>
      <c r="H24" s="116">
        <v>2021</v>
      </c>
      <c r="I24" s="116" t="s">
        <v>346</v>
      </c>
      <c r="J24" s="116" t="s">
        <v>278</v>
      </c>
      <c r="K24" s="118" t="s">
        <v>278</v>
      </c>
      <c r="L24" s="116">
        <v>50</v>
      </c>
      <c r="M24" s="119">
        <f t="shared" ca="1" si="8"/>
        <v>312369.72065229755</v>
      </c>
      <c r="N24" s="119">
        <f ca="1">T108</f>
        <v>438181.31240502954</v>
      </c>
      <c r="O24" s="119">
        <f ca="1">T116</f>
        <v>34648.34302250023</v>
      </c>
      <c r="P24" s="119" t="s">
        <v>327</v>
      </c>
      <c r="R24" s="147">
        <f t="shared" si="3"/>
        <v>2021</v>
      </c>
      <c r="S24" s="145">
        <f t="shared" ca="1" si="7"/>
        <v>102.98837698032052</v>
      </c>
      <c r="T24" s="145">
        <f t="shared" ca="1" si="7"/>
        <v>95.147490107145998</v>
      </c>
      <c r="U24" s="145">
        <f t="shared" ca="1" si="7"/>
        <v>8.7536236626008552</v>
      </c>
      <c r="V24" s="145">
        <f t="shared" ca="1" si="7"/>
        <v>80.805226054369939</v>
      </c>
      <c r="W24" s="145">
        <f t="shared" ca="1" si="7"/>
        <v>8.8563958113153269</v>
      </c>
      <c r="X24" s="145">
        <f t="shared" ca="1" si="7"/>
        <v>94.059778055728344</v>
      </c>
      <c r="Y24" s="145">
        <f t="shared" ca="1" si="7"/>
        <v>136.92613257953471</v>
      </c>
      <c r="Z24" s="145">
        <f t="shared" ca="1" si="7"/>
        <v>31.462976748984218</v>
      </c>
      <c r="AA24" s="145"/>
      <c r="AB24" s="145">
        <f t="shared" ca="1" si="5"/>
        <v>559</v>
      </c>
    </row>
    <row r="25" spans="1:40">
      <c r="A25" s="116">
        <v>2022</v>
      </c>
      <c r="B25" t="s">
        <v>331</v>
      </c>
      <c r="C25" s="117" t="s">
        <v>332</v>
      </c>
      <c r="D25">
        <f>Summary!I15</f>
        <v>28050</v>
      </c>
      <c r="E25">
        <f t="shared" si="1"/>
        <v>28611</v>
      </c>
      <c r="H25" s="116">
        <v>2021</v>
      </c>
      <c r="I25" s="116" t="s">
        <v>346</v>
      </c>
      <c r="J25" s="116" t="s">
        <v>331</v>
      </c>
      <c r="K25" s="118" t="s">
        <v>332</v>
      </c>
      <c r="L25" s="116">
        <v>62.5</v>
      </c>
      <c r="M25" s="119">
        <f t="shared" ca="1" si="8"/>
        <v>4680.7799247701523</v>
      </c>
      <c r="N25" s="119">
        <v>0</v>
      </c>
      <c r="O25" s="119">
        <v>0</v>
      </c>
      <c r="P25" s="119" t="s">
        <v>327</v>
      </c>
      <c r="R25" s="147">
        <f t="shared" si="3"/>
        <v>2021</v>
      </c>
      <c r="S25" s="145">
        <f t="shared" ca="1" si="7"/>
        <v>736.94724136186414</v>
      </c>
      <c r="T25" s="145">
        <f t="shared" ca="1" si="7"/>
        <v>680.84071633020392</v>
      </c>
      <c r="U25" s="145">
        <f t="shared" ca="1" si="7"/>
        <v>62.637736405015062</v>
      </c>
      <c r="V25" s="145">
        <f t="shared" ca="1" si="7"/>
        <v>578.2127087969227</v>
      </c>
      <c r="W25" s="145">
        <f t="shared" ca="1" si="7"/>
        <v>63.373136395816296</v>
      </c>
      <c r="X25" s="145">
        <f t="shared" ca="1" si="7"/>
        <v>673.05744583705427</v>
      </c>
      <c r="Y25" s="145">
        <f t="shared" ca="1" si="7"/>
        <v>979.79343527395133</v>
      </c>
      <c r="Z25" s="145">
        <f t="shared" ca="1" si="7"/>
        <v>225.13757959917149</v>
      </c>
      <c r="AA25" s="145"/>
      <c r="AB25" s="145">
        <f t="shared" ca="1" si="5"/>
        <v>3999.9999999999991</v>
      </c>
    </row>
    <row r="26" spans="1:40">
      <c r="A26" s="116">
        <v>2022</v>
      </c>
      <c r="B26" t="s">
        <v>331</v>
      </c>
      <c r="C26" s="117" t="s">
        <v>333</v>
      </c>
      <c r="D26">
        <f>Summary!I16</f>
        <v>11046.6</v>
      </c>
      <c r="E26">
        <f t="shared" si="1"/>
        <v>11267.532000000001</v>
      </c>
      <c r="H26" s="116">
        <v>2021</v>
      </c>
      <c r="I26" s="116" t="s">
        <v>346</v>
      </c>
      <c r="J26" s="116" t="s">
        <v>331</v>
      </c>
      <c r="K26" s="118" t="s">
        <v>333</v>
      </c>
      <c r="L26" s="116">
        <v>1</v>
      </c>
      <c r="M26" s="119">
        <f t="shared" ca="1" si="8"/>
        <v>1843.3762394640271</v>
      </c>
      <c r="N26" s="119">
        <v>0</v>
      </c>
      <c r="O26" s="119">
        <v>0</v>
      </c>
      <c r="P26" s="119" t="s">
        <v>327</v>
      </c>
      <c r="R26" s="147">
        <f t="shared" si="3"/>
        <v>2021</v>
      </c>
      <c r="S26" s="145">
        <f t="shared" ref="S26:Z35" ca="1" si="9">S$13/SUM($S$13:$Z$13)*$D14</f>
        <v>110.54208620427963</v>
      </c>
      <c r="T26" s="145">
        <f t="shared" ca="1" si="9"/>
        <v>102.12610744953059</v>
      </c>
      <c r="U26" s="145">
        <f t="shared" ca="1" si="9"/>
        <v>9.3956604607522589</v>
      </c>
      <c r="V26" s="145">
        <f t="shared" ca="1" si="9"/>
        <v>86.731906319538396</v>
      </c>
      <c r="W26" s="145">
        <f t="shared" ca="1" si="9"/>
        <v>9.5059704593724437</v>
      </c>
      <c r="X26" s="145">
        <f t="shared" ca="1" si="9"/>
        <v>100.95861687555815</v>
      </c>
      <c r="Y26" s="145">
        <f t="shared" ca="1" si="9"/>
        <v>146.96901529109272</v>
      </c>
      <c r="Z26" s="145">
        <f t="shared" ca="1" si="9"/>
        <v>33.770636939875722</v>
      </c>
      <c r="AA26" s="145"/>
      <c r="AB26" s="145">
        <f t="shared" ca="1" si="5"/>
        <v>600</v>
      </c>
    </row>
    <row r="27" spans="1:40">
      <c r="A27" s="116">
        <v>2022</v>
      </c>
      <c r="B27" t="s">
        <v>331</v>
      </c>
      <c r="C27" s="117" t="s">
        <v>334</v>
      </c>
      <c r="D27">
        <f>Summary!I17</f>
        <v>3570</v>
      </c>
      <c r="E27">
        <f t="shared" si="1"/>
        <v>3641.4</v>
      </c>
      <c r="H27" s="116">
        <v>2021</v>
      </c>
      <c r="I27" s="116" t="s">
        <v>346</v>
      </c>
      <c r="J27" s="116" t="s">
        <v>331</v>
      </c>
      <c r="K27" s="118" t="s">
        <v>334</v>
      </c>
      <c r="L27" s="116">
        <v>1</v>
      </c>
      <c r="M27" s="119">
        <f t="shared" ca="1" si="8"/>
        <v>595.73562678892847</v>
      </c>
      <c r="N27" s="119">
        <v>0</v>
      </c>
      <c r="O27" s="119">
        <v>0</v>
      </c>
      <c r="P27" s="119" t="s">
        <v>327</v>
      </c>
      <c r="R27" s="147">
        <f t="shared" si="3"/>
        <v>2021</v>
      </c>
      <c r="S27" s="145">
        <f t="shared" ca="1" si="9"/>
        <v>3472.4954012971039</v>
      </c>
      <c r="T27" s="145">
        <f t="shared" ca="1" si="9"/>
        <v>3208.1214553479208</v>
      </c>
      <c r="U27" s="145">
        <f t="shared" ca="1" si="9"/>
        <v>295.14901394043096</v>
      </c>
      <c r="V27" s="145">
        <f t="shared" ca="1" si="9"/>
        <v>2724.5382838510995</v>
      </c>
      <c r="W27" s="145">
        <f t="shared" ca="1" si="9"/>
        <v>298.61421869708636</v>
      </c>
      <c r="X27" s="145">
        <f t="shared" ca="1" si="9"/>
        <v>3171.4466847842</v>
      </c>
      <c r="Y27" s="145">
        <f t="shared" ca="1" si="9"/>
        <v>4616.7866670108588</v>
      </c>
      <c r="Z27" s="145">
        <f t="shared" ca="1" si="9"/>
        <v>1060.848275071296</v>
      </c>
      <c r="AA27" s="145"/>
      <c r="AB27" s="145">
        <f t="shared" ca="1" si="5"/>
        <v>18847.999999999996</v>
      </c>
    </row>
    <row r="28" spans="1:40">
      <c r="A28" s="116">
        <v>2022</v>
      </c>
      <c r="B28" t="s">
        <v>331</v>
      </c>
      <c r="C28" s="117" t="s">
        <v>335</v>
      </c>
      <c r="D28">
        <f>Summary!I18</f>
        <v>2550</v>
      </c>
      <c r="E28">
        <f t="shared" si="1"/>
        <v>2601</v>
      </c>
      <c r="H28" s="116">
        <v>2021</v>
      </c>
      <c r="I28" s="116" t="s">
        <v>346</v>
      </c>
      <c r="J28" s="116" t="s">
        <v>331</v>
      </c>
      <c r="K28" s="118" t="s">
        <v>335</v>
      </c>
      <c r="L28" s="116">
        <v>2</v>
      </c>
      <c r="M28" s="119">
        <f t="shared" ca="1" si="8"/>
        <v>425.52544770637746</v>
      </c>
      <c r="N28" s="119">
        <v>0</v>
      </c>
      <c r="O28" s="119">
        <v>0</v>
      </c>
      <c r="P28" s="119" t="s">
        <v>327</v>
      </c>
      <c r="R28" s="147">
        <f t="shared" si="3"/>
        <v>2021</v>
      </c>
      <c r="S28" s="145">
        <f t="shared" ca="1" si="9"/>
        <v>14434.585616554834</v>
      </c>
      <c r="T28" s="145">
        <f t="shared" ca="1" si="9"/>
        <v>13335.627110759704</v>
      </c>
      <c r="U28" s="145">
        <f t="shared" ca="1" si="9"/>
        <v>1226.8853429650301</v>
      </c>
      <c r="V28" s="145">
        <f t="shared" ca="1" si="9"/>
        <v>11325.452327205325</v>
      </c>
      <c r="W28" s="145">
        <f t="shared" ca="1" si="9"/>
        <v>1241.2896225848538</v>
      </c>
      <c r="X28" s="145">
        <f t="shared" ca="1" si="9"/>
        <v>13183.176191610382</v>
      </c>
      <c r="Y28" s="145">
        <f t="shared" ca="1" si="9"/>
        <v>19191.214016710885</v>
      </c>
      <c r="Z28" s="145">
        <f t="shared" ca="1" si="9"/>
        <v>4409.7697716089724</v>
      </c>
      <c r="AA28" s="145"/>
      <c r="AB28" s="145">
        <f t="shared" ca="1" si="5"/>
        <v>78347.999999999985</v>
      </c>
    </row>
    <row r="29" spans="1:40">
      <c r="A29" s="116">
        <v>2022</v>
      </c>
      <c r="B29" t="s">
        <v>331</v>
      </c>
      <c r="C29" s="117" t="s">
        <v>336</v>
      </c>
      <c r="D29">
        <f>Summary!I19</f>
        <v>44300.639999999999</v>
      </c>
      <c r="E29">
        <f t="shared" si="1"/>
        <v>45186.652800000003</v>
      </c>
      <c r="H29" s="116">
        <v>2021</v>
      </c>
      <c r="I29" s="116" t="s">
        <v>346</v>
      </c>
      <c r="J29" s="116" t="s">
        <v>331</v>
      </c>
      <c r="K29" s="118" t="s">
        <v>336</v>
      </c>
      <c r="L29" s="116">
        <v>2</v>
      </c>
      <c r="M29" s="119">
        <f t="shared" ca="1" si="8"/>
        <v>7392.5684979133539</v>
      </c>
      <c r="N29" s="119">
        <v>0</v>
      </c>
      <c r="O29" s="119">
        <v>0</v>
      </c>
      <c r="P29" s="119" t="s">
        <v>327</v>
      </c>
      <c r="R29" s="147">
        <f t="shared" si="3"/>
        <v>2021</v>
      </c>
      <c r="S29" s="145">
        <f t="shared" ca="1" si="9"/>
        <v>1509.2679503090978</v>
      </c>
      <c r="T29" s="145">
        <f t="shared" ca="1" si="9"/>
        <v>1394.3617870442577</v>
      </c>
      <c r="U29" s="145">
        <f t="shared" ca="1" si="9"/>
        <v>128.28208415747085</v>
      </c>
      <c r="V29" s="145">
        <f t="shared" ca="1" si="9"/>
        <v>1184.1796276160976</v>
      </c>
      <c r="W29" s="145">
        <f t="shared" ca="1" si="9"/>
        <v>129.78818333863177</v>
      </c>
      <c r="X29" s="145">
        <f t="shared" ca="1" si="9"/>
        <v>1378.4216490742872</v>
      </c>
      <c r="Y29" s="145">
        <f t="shared" ca="1" si="9"/>
        <v>2006.6169554410524</v>
      </c>
      <c r="Z29" s="145">
        <f t="shared" ca="1" si="9"/>
        <v>461.08176301910322</v>
      </c>
      <c r="AA29" s="145"/>
      <c r="AB29" s="145">
        <f t="shared" ca="1" si="5"/>
        <v>8191.9999999999982</v>
      </c>
    </row>
    <row r="30" spans="1:40">
      <c r="A30" s="116">
        <v>2022</v>
      </c>
      <c r="B30" t="s">
        <v>331</v>
      </c>
      <c r="C30" s="117" t="s">
        <v>337</v>
      </c>
      <c r="D30">
        <f>Summary!I20</f>
        <v>570.18000000000006</v>
      </c>
      <c r="E30">
        <f t="shared" si="1"/>
        <v>581.58360000000005</v>
      </c>
      <c r="H30" s="116">
        <v>2021</v>
      </c>
      <c r="I30" s="116" t="s">
        <v>346</v>
      </c>
      <c r="J30" s="116" t="s">
        <v>331</v>
      </c>
      <c r="K30" s="118" t="s">
        <v>337</v>
      </c>
      <c r="L30" s="116">
        <v>1</v>
      </c>
      <c r="M30" s="119">
        <f t="shared" ca="1" si="8"/>
        <v>95.147490107145998</v>
      </c>
      <c r="N30" s="119">
        <v>0</v>
      </c>
      <c r="O30" s="119">
        <v>0</v>
      </c>
      <c r="P30" s="119" t="s">
        <v>327</v>
      </c>
      <c r="R30" s="147">
        <f t="shared" si="3"/>
        <v>2021</v>
      </c>
      <c r="S30" s="145">
        <f t="shared" ca="1" si="9"/>
        <v>339.36420464713848</v>
      </c>
      <c r="T30" s="145">
        <f t="shared" ca="1" si="9"/>
        <v>313.52714987005891</v>
      </c>
      <c r="U30" s="145">
        <f t="shared" ca="1" si="9"/>
        <v>28.844677614509436</v>
      </c>
      <c r="V30" s="145">
        <f t="shared" ca="1" si="9"/>
        <v>266.26695240098286</v>
      </c>
      <c r="W30" s="145">
        <f t="shared" ca="1" si="9"/>
        <v>29.183329310273404</v>
      </c>
      <c r="X30" s="145">
        <f t="shared" ca="1" si="9"/>
        <v>309.94295380796348</v>
      </c>
      <c r="Y30" s="145">
        <f t="shared" ca="1" si="9"/>
        <v>451.19487694365461</v>
      </c>
      <c r="Z30" s="145">
        <f t="shared" ca="1" si="9"/>
        <v>103.67585540541847</v>
      </c>
      <c r="AA30" s="145"/>
      <c r="AB30" s="145">
        <f t="shared" ca="1" si="5"/>
        <v>1841.9999999999995</v>
      </c>
    </row>
    <row r="31" spans="1:40">
      <c r="A31" s="116">
        <v>2022</v>
      </c>
      <c r="B31" t="s">
        <v>331</v>
      </c>
      <c r="C31" s="117" t="s">
        <v>338</v>
      </c>
      <c r="D31">
        <f>Summary!I21</f>
        <v>4080</v>
      </c>
      <c r="E31">
        <f t="shared" si="1"/>
        <v>4161.6000000000004</v>
      </c>
      <c r="H31" s="116">
        <v>2021</v>
      </c>
      <c r="I31" s="116" t="s">
        <v>346</v>
      </c>
      <c r="J31" s="116" t="s">
        <v>331</v>
      </c>
      <c r="K31" s="118" t="s">
        <v>338</v>
      </c>
      <c r="L31" s="116">
        <v>4</v>
      </c>
      <c r="M31" s="119">
        <f t="shared" ca="1" si="8"/>
        <v>680.84071633020392</v>
      </c>
      <c r="N31" s="119">
        <v>0</v>
      </c>
      <c r="O31" s="119">
        <v>0</v>
      </c>
      <c r="P31" s="119" t="s">
        <v>327</v>
      </c>
      <c r="R31" s="147">
        <f t="shared" si="3"/>
        <v>2021</v>
      </c>
      <c r="S31" s="145">
        <f t="shared" ca="1" si="9"/>
        <v>7369.4724136186414</v>
      </c>
      <c r="T31" s="145">
        <f t="shared" ca="1" si="9"/>
        <v>6808.4071633020394</v>
      </c>
      <c r="U31" s="145">
        <f t="shared" ca="1" si="9"/>
        <v>626.37736405015062</v>
      </c>
      <c r="V31" s="145">
        <f t="shared" ca="1" si="9"/>
        <v>5782.1270879692265</v>
      </c>
      <c r="W31" s="145">
        <f t="shared" ca="1" si="9"/>
        <v>633.73136395816289</v>
      </c>
      <c r="X31" s="145">
        <f t="shared" ca="1" si="9"/>
        <v>6730.5744583705427</v>
      </c>
      <c r="Y31" s="145">
        <f t="shared" ca="1" si="9"/>
        <v>9797.934352739514</v>
      </c>
      <c r="Z31" s="145">
        <f t="shared" ca="1" si="9"/>
        <v>2251.3757959917148</v>
      </c>
      <c r="AA31" s="145"/>
      <c r="AB31" s="145">
        <f t="shared" ca="1" si="5"/>
        <v>39999.999999999985</v>
      </c>
    </row>
    <row r="32" spans="1:40">
      <c r="A32" s="116">
        <v>2022</v>
      </c>
      <c r="B32" t="s">
        <v>331</v>
      </c>
      <c r="C32" s="117" t="s">
        <v>341</v>
      </c>
      <c r="D32">
        <f>Summary!I22</f>
        <v>612</v>
      </c>
      <c r="E32">
        <f t="shared" si="1"/>
        <v>624.24</v>
      </c>
      <c r="H32" s="116">
        <v>2021</v>
      </c>
      <c r="I32" s="116" t="s">
        <v>346</v>
      </c>
      <c r="J32" s="116" t="s">
        <v>331</v>
      </c>
      <c r="K32" s="118" t="s">
        <v>341</v>
      </c>
      <c r="L32" s="116">
        <v>5</v>
      </c>
      <c r="M32" s="119">
        <f t="shared" ca="1" si="8"/>
        <v>102.12610744953059</v>
      </c>
      <c r="N32" s="119">
        <v>0</v>
      </c>
      <c r="O32" s="119">
        <v>0</v>
      </c>
      <c r="P32" s="119" t="s">
        <v>327</v>
      </c>
      <c r="R32" s="147">
        <f t="shared" si="3"/>
        <v>2022</v>
      </c>
      <c r="S32" s="145">
        <f t="shared" ca="1" si="9"/>
        <v>0</v>
      </c>
      <c r="T32" s="145">
        <f t="shared" ca="1" si="9"/>
        <v>0</v>
      </c>
      <c r="U32" s="145">
        <f t="shared" ca="1" si="9"/>
        <v>0</v>
      </c>
      <c r="V32" s="145">
        <f t="shared" ca="1" si="9"/>
        <v>0</v>
      </c>
      <c r="W32" s="145">
        <f t="shared" ca="1" si="9"/>
        <v>0</v>
      </c>
      <c r="X32" s="145">
        <f t="shared" ca="1" si="9"/>
        <v>0</v>
      </c>
      <c r="Y32" s="145">
        <f t="shared" ca="1" si="9"/>
        <v>0</v>
      </c>
      <c r="Z32" s="145">
        <f t="shared" ca="1" si="9"/>
        <v>0</v>
      </c>
      <c r="AA32" s="145"/>
      <c r="AB32" s="145">
        <f t="shared" ca="1" si="5"/>
        <v>0</v>
      </c>
    </row>
    <row r="33" spans="1:28">
      <c r="A33" s="116">
        <v>2022</v>
      </c>
      <c r="B33" t="s">
        <v>331</v>
      </c>
      <c r="C33" s="117" t="s">
        <v>342</v>
      </c>
      <c r="D33">
        <f>Summary!I23</f>
        <v>19224.96</v>
      </c>
      <c r="E33">
        <f t="shared" si="1"/>
        <v>19609.459200000001</v>
      </c>
      <c r="H33" s="116">
        <v>2021</v>
      </c>
      <c r="I33" s="116" t="s">
        <v>346</v>
      </c>
      <c r="J33" s="116" t="s">
        <v>331</v>
      </c>
      <c r="K33" s="118" t="s">
        <v>342</v>
      </c>
      <c r="L33" s="116">
        <v>1</v>
      </c>
      <c r="M33" s="119">
        <f t="shared" ca="1" si="8"/>
        <v>3208.1214553479208</v>
      </c>
      <c r="N33" s="119">
        <v>0</v>
      </c>
      <c r="O33" s="119">
        <v>0</v>
      </c>
      <c r="P33" s="119" t="s">
        <v>327</v>
      </c>
      <c r="R33" s="147">
        <f t="shared" si="3"/>
        <v>2022</v>
      </c>
      <c r="S33" s="145">
        <f t="shared" ca="1" si="9"/>
        <v>6765.175675701913</v>
      </c>
      <c r="T33" s="145">
        <f t="shared" ca="1" si="9"/>
        <v>6250.1177759112725</v>
      </c>
      <c r="U33" s="145">
        <f t="shared" ca="1" si="9"/>
        <v>575.01442019803824</v>
      </c>
      <c r="V33" s="145">
        <f t="shared" ca="1" si="9"/>
        <v>5307.9926667557502</v>
      </c>
      <c r="W33" s="145">
        <f t="shared" ca="1" si="9"/>
        <v>581.76539211359352</v>
      </c>
      <c r="X33" s="145">
        <f t="shared" ca="1" si="9"/>
        <v>6178.6673527841585</v>
      </c>
      <c r="Y33" s="145">
        <f t="shared" ca="1" si="9"/>
        <v>8994.5037358148729</v>
      </c>
      <c r="Z33" s="145">
        <f t="shared" ca="1" si="9"/>
        <v>2066.7629807203944</v>
      </c>
      <c r="AA33" s="145"/>
      <c r="AB33" s="145">
        <f t="shared" ca="1" si="5"/>
        <v>36719.999999999993</v>
      </c>
    </row>
    <row r="34" spans="1:28">
      <c r="A34" s="116">
        <v>2022</v>
      </c>
      <c r="B34" t="s">
        <v>343</v>
      </c>
      <c r="C34" s="117" t="s">
        <v>289</v>
      </c>
      <c r="D34">
        <f>Summary!I25</f>
        <v>79914.960000000006</v>
      </c>
      <c r="E34">
        <f t="shared" si="1"/>
        <v>81513.259200000015</v>
      </c>
      <c r="H34" s="116">
        <v>2021</v>
      </c>
      <c r="I34" s="116" t="s">
        <v>346</v>
      </c>
      <c r="J34" s="116" t="s">
        <v>343</v>
      </c>
      <c r="K34" s="118" t="s">
        <v>289</v>
      </c>
      <c r="L34" s="116">
        <v>2</v>
      </c>
      <c r="M34" s="119">
        <f t="shared" ca="1" si="8"/>
        <v>13335.627110759704</v>
      </c>
      <c r="N34" s="119">
        <v>0</v>
      </c>
      <c r="O34" s="119">
        <v>0</v>
      </c>
      <c r="P34" s="119" t="s">
        <v>327</v>
      </c>
      <c r="R34" s="147">
        <f t="shared" si="3"/>
        <v>2022</v>
      </c>
      <c r="S34" s="145">
        <f t="shared" ca="1" si="9"/>
        <v>0</v>
      </c>
      <c r="T34" s="145">
        <f t="shared" ca="1" si="9"/>
        <v>0</v>
      </c>
      <c r="U34" s="145">
        <f t="shared" ca="1" si="9"/>
        <v>0</v>
      </c>
      <c r="V34" s="145">
        <f t="shared" ca="1" si="9"/>
        <v>0</v>
      </c>
      <c r="W34" s="145">
        <f t="shared" ca="1" si="9"/>
        <v>0</v>
      </c>
      <c r="X34" s="145">
        <f t="shared" ca="1" si="9"/>
        <v>0</v>
      </c>
      <c r="Y34" s="145">
        <f t="shared" ca="1" si="9"/>
        <v>0</v>
      </c>
      <c r="Z34" s="145">
        <f t="shared" ca="1" si="9"/>
        <v>0</v>
      </c>
      <c r="AA34" s="145"/>
      <c r="AB34" s="145">
        <f t="shared" ca="1" si="5"/>
        <v>0</v>
      </c>
    </row>
    <row r="35" spans="1:28">
      <c r="A35" s="116">
        <v>2022</v>
      </c>
      <c r="B35" t="s">
        <v>344</v>
      </c>
      <c r="C35" s="117" t="s">
        <v>291</v>
      </c>
      <c r="D35">
        <f>Summary!I29+Summary!I30</f>
        <v>8192</v>
      </c>
      <c r="E35">
        <f t="shared" si="1"/>
        <v>8355.84</v>
      </c>
      <c r="H35" s="116">
        <v>2021</v>
      </c>
      <c r="I35" s="116" t="s">
        <v>346</v>
      </c>
      <c r="J35" s="116" t="s">
        <v>344</v>
      </c>
      <c r="K35" s="118" t="s">
        <v>291</v>
      </c>
      <c r="L35" s="116">
        <v>2</v>
      </c>
      <c r="M35" s="119">
        <f t="shared" ca="1" si="8"/>
        <v>1394.3617870442577</v>
      </c>
      <c r="N35" s="119">
        <v>0</v>
      </c>
      <c r="O35" s="119">
        <v>0</v>
      </c>
      <c r="P35" s="119" t="s">
        <v>345</v>
      </c>
      <c r="R35" s="147">
        <f t="shared" si="3"/>
        <v>2022</v>
      </c>
      <c r="S35" s="145">
        <f t="shared" ca="1" si="9"/>
        <v>2556.6726407756814</v>
      </c>
      <c r="T35" s="145">
        <f t="shared" ca="1" si="9"/>
        <v>2362.0236761464685</v>
      </c>
      <c r="U35" s="145">
        <f t="shared" ca="1" si="9"/>
        <v>217.30753296650863</v>
      </c>
      <c r="V35" s="145">
        <f t="shared" ca="1" si="9"/>
        <v>2005.9788953114439</v>
      </c>
      <c r="W35" s="145">
        <f t="shared" ca="1" si="9"/>
        <v>219.85883776959557</v>
      </c>
      <c r="X35" s="145">
        <f t="shared" ca="1" si="9"/>
        <v>2335.0213704063467</v>
      </c>
      <c r="Y35" s="145">
        <f t="shared" ca="1" si="9"/>
        <v>3399.1728701600377</v>
      </c>
      <c r="Z35" s="145">
        <f t="shared" ca="1" si="9"/>
        <v>781.06417646391571</v>
      </c>
      <c r="AA35" s="145"/>
      <c r="AB35" s="145">
        <f t="shared" ca="1" si="5"/>
        <v>13877.099999999999</v>
      </c>
    </row>
    <row r="36" spans="1:28">
      <c r="A36" s="116">
        <v>2022</v>
      </c>
      <c r="B36" t="s">
        <v>344</v>
      </c>
      <c r="C36" s="117" t="s">
        <v>292</v>
      </c>
      <c r="D36">
        <f>Summary!I32+Summary!I33</f>
        <v>1842</v>
      </c>
      <c r="E36">
        <f t="shared" si="1"/>
        <v>1878.8400000000001</v>
      </c>
      <c r="H36" s="116">
        <v>2021</v>
      </c>
      <c r="I36" s="116" t="s">
        <v>346</v>
      </c>
      <c r="J36" s="116" t="s">
        <v>344</v>
      </c>
      <c r="K36" s="118" t="s">
        <v>292</v>
      </c>
      <c r="L36" s="116">
        <v>3</v>
      </c>
      <c r="M36" s="119">
        <f t="shared" ca="1" si="8"/>
        <v>313.52714987005891</v>
      </c>
      <c r="N36" s="119">
        <v>0</v>
      </c>
      <c r="O36" s="119">
        <v>0</v>
      </c>
      <c r="P36" s="119" t="s">
        <v>345</v>
      </c>
      <c r="R36" s="147">
        <f t="shared" si="3"/>
        <v>2022</v>
      </c>
      <c r="S36" s="145">
        <f t="shared" ref="S36:Z45" ca="1" si="10">S$13/SUM($S$13:$Z$13)*$D24</f>
        <v>344873.62222355977</v>
      </c>
      <c r="T36" s="145">
        <f t="shared" ca="1" si="10"/>
        <v>318617.1150653435</v>
      </c>
      <c r="U36" s="145">
        <f t="shared" ca="1" si="10"/>
        <v>29312.957331873327</v>
      </c>
      <c r="V36" s="145">
        <f t="shared" ca="1" si="10"/>
        <v>270589.67061194871</v>
      </c>
      <c r="W36" s="145">
        <f t="shared" ca="1" si="10"/>
        <v>29657.106877968527</v>
      </c>
      <c r="X36" s="145">
        <f t="shared" ca="1" si="10"/>
        <v>314974.73127304134</v>
      </c>
      <c r="Y36" s="145">
        <f t="shared" ca="1" si="10"/>
        <v>458519.81266576267</v>
      </c>
      <c r="Z36" s="145">
        <f t="shared" ca="1" si="10"/>
        <v>105358.98395050188</v>
      </c>
      <c r="AA36" s="145"/>
      <c r="AB36" s="145">
        <f t="shared" ca="1" si="5"/>
        <v>1871903.9999999995</v>
      </c>
    </row>
    <row r="37" spans="1:28">
      <c r="A37" s="116">
        <v>2022</v>
      </c>
      <c r="B37" t="s">
        <v>295</v>
      </c>
      <c r="C37" s="117" t="s">
        <v>295</v>
      </c>
      <c r="D37">
        <f>Summary!I37</f>
        <v>42000</v>
      </c>
      <c r="E37">
        <f t="shared" si="1"/>
        <v>42840</v>
      </c>
      <c r="H37" s="116">
        <v>2021</v>
      </c>
      <c r="I37" s="116" t="s">
        <v>346</v>
      </c>
      <c r="J37" s="116" t="s">
        <v>295</v>
      </c>
      <c r="K37" s="118" t="s">
        <v>295</v>
      </c>
      <c r="L37" s="116">
        <v>2</v>
      </c>
      <c r="M37" s="119">
        <f t="shared" ca="1" si="8"/>
        <v>6808.4071633020394</v>
      </c>
      <c r="N37" s="119">
        <v>0</v>
      </c>
      <c r="O37" s="119">
        <v>0</v>
      </c>
      <c r="P37" s="119" t="s">
        <v>327</v>
      </c>
      <c r="R37" s="147">
        <f t="shared" si="3"/>
        <v>2022</v>
      </c>
      <c r="S37" s="145">
        <f t="shared" ca="1" si="10"/>
        <v>5167.8425300500721</v>
      </c>
      <c r="T37" s="145">
        <f t="shared" ca="1" si="10"/>
        <v>4774.3955232655553</v>
      </c>
      <c r="U37" s="145">
        <f t="shared" ca="1" si="10"/>
        <v>439.24712654016815</v>
      </c>
      <c r="V37" s="145">
        <f t="shared" ca="1" si="10"/>
        <v>4054.7166204384203</v>
      </c>
      <c r="W37" s="145">
        <f t="shared" ca="1" si="10"/>
        <v>444.40411897566173</v>
      </c>
      <c r="X37" s="145">
        <f t="shared" ca="1" si="10"/>
        <v>4719.8153389323434</v>
      </c>
      <c r="Y37" s="145">
        <f t="shared" ca="1" si="10"/>
        <v>6870.801464858584</v>
      </c>
      <c r="Z37" s="145">
        <f t="shared" ca="1" si="10"/>
        <v>1578.7772769391902</v>
      </c>
      <c r="AA37" s="145"/>
      <c r="AB37" s="145">
        <f t="shared" ca="1" si="5"/>
        <v>28049.999999999996</v>
      </c>
    </row>
    <row r="38" spans="1:28">
      <c r="A38" s="116">
        <v>2023</v>
      </c>
      <c r="B38" t="s">
        <v>30</v>
      </c>
      <c r="C38" s="117" t="s">
        <v>31</v>
      </c>
      <c r="D38">
        <f>Summary!J8</f>
        <v>0</v>
      </c>
      <c r="E38">
        <f t="shared" si="1"/>
        <v>0</v>
      </c>
      <c r="H38" s="116">
        <v>2021</v>
      </c>
      <c r="I38" s="116" t="s">
        <v>347</v>
      </c>
      <c r="J38" s="116" t="s">
        <v>30</v>
      </c>
      <c r="K38" s="118" t="s">
        <v>31</v>
      </c>
      <c r="L38" s="116">
        <v>255</v>
      </c>
      <c r="M38" s="119">
        <f t="shared" ref="M38:M55" ca="1" si="11">U14</f>
        <v>0</v>
      </c>
      <c r="N38" s="119">
        <v>0</v>
      </c>
      <c r="O38" s="119">
        <v>0</v>
      </c>
      <c r="P38" s="119" t="s">
        <v>327</v>
      </c>
      <c r="R38" s="147">
        <f t="shared" si="3"/>
        <v>2022</v>
      </c>
      <c r="S38" s="145">
        <f t="shared" ca="1" si="10"/>
        <v>2035.1903491069922</v>
      </c>
      <c r="T38" s="145">
        <f t="shared" ca="1" si="10"/>
        <v>1880.2437642533077</v>
      </c>
      <c r="U38" s="145">
        <f t="shared" ca="1" si="10"/>
        <v>172.98350474290984</v>
      </c>
      <c r="V38" s="145">
        <f t="shared" ca="1" si="10"/>
        <v>1596.8211272490214</v>
      </c>
      <c r="W38" s="145">
        <f t="shared" ca="1" si="10"/>
        <v>175.01442212750607</v>
      </c>
      <c r="X38" s="145">
        <f t="shared" ca="1" si="10"/>
        <v>1858.749095295901</v>
      </c>
      <c r="Y38" s="145">
        <f t="shared" ca="1" si="10"/>
        <v>2705.8465405243078</v>
      </c>
      <c r="Z38" s="145">
        <f t="shared" ca="1" si="10"/>
        <v>621.75119670005199</v>
      </c>
      <c r="AA38" s="145"/>
      <c r="AB38" s="145">
        <f t="shared" ca="1" si="5"/>
        <v>11046.599999999999</v>
      </c>
    </row>
    <row r="39" spans="1:28">
      <c r="A39" s="116">
        <v>2023</v>
      </c>
      <c r="B39" t="s">
        <v>30</v>
      </c>
      <c r="C39" s="117" t="s">
        <v>328</v>
      </c>
      <c r="D39">
        <f>Summary!J9</f>
        <v>39290.400000000001</v>
      </c>
      <c r="E39">
        <f t="shared" si="1"/>
        <v>40076.207999999999</v>
      </c>
      <c r="H39" s="116">
        <v>2021</v>
      </c>
      <c r="I39" s="116" t="s">
        <v>347</v>
      </c>
      <c r="J39" s="116" t="s">
        <v>30</v>
      </c>
      <c r="K39" s="118" t="s">
        <v>328</v>
      </c>
      <c r="L39" s="116">
        <v>165</v>
      </c>
      <c r="M39" s="119">
        <f t="shared" ca="1" si="11"/>
        <v>563.73962764513556</v>
      </c>
      <c r="N39" s="119">
        <v>0</v>
      </c>
      <c r="O39" s="119">
        <v>0</v>
      </c>
      <c r="P39" s="119" t="s">
        <v>327</v>
      </c>
      <c r="R39" s="147">
        <f t="shared" si="3"/>
        <v>2022</v>
      </c>
      <c r="S39" s="145">
        <f t="shared" ca="1" si="10"/>
        <v>657.72541291546383</v>
      </c>
      <c r="T39" s="145">
        <f t="shared" ca="1" si="10"/>
        <v>607.65033932470703</v>
      </c>
      <c r="U39" s="145">
        <f t="shared" ca="1" si="10"/>
        <v>55.904179741475943</v>
      </c>
      <c r="V39" s="145">
        <f t="shared" ca="1" si="10"/>
        <v>516.05484260125343</v>
      </c>
      <c r="W39" s="145">
        <f t="shared" ca="1" si="10"/>
        <v>56.560524233266044</v>
      </c>
      <c r="X39" s="145">
        <f t="shared" ca="1" si="10"/>
        <v>600.70377040957101</v>
      </c>
      <c r="Y39" s="145">
        <f t="shared" ca="1" si="10"/>
        <v>874.46564098200156</v>
      </c>
      <c r="Z39" s="145">
        <f t="shared" ca="1" si="10"/>
        <v>200.93528979226056</v>
      </c>
      <c r="AA39" s="145"/>
      <c r="AB39" s="145">
        <f t="shared" ca="1" si="5"/>
        <v>3569.9999999999995</v>
      </c>
    </row>
    <row r="40" spans="1:28">
      <c r="A40" s="116">
        <v>2023</v>
      </c>
      <c r="B40" t="s">
        <v>30</v>
      </c>
      <c r="C40" s="117" t="s">
        <v>329</v>
      </c>
      <c r="D40">
        <f>Summary!J10</f>
        <v>0</v>
      </c>
      <c r="E40">
        <f t="shared" si="1"/>
        <v>0</v>
      </c>
      <c r="H40" s="116">
        <v>2021</v>
      </c>
      <c r="I40" s="116" t="s">
        <v>347</v>
      </c>
      <c r="J40" s="116" t="s">
        <v>30</v>
      </c>
      <c r="K40" s="118" t="s">
        <v>329</v>
      </c>
      <c r="L40" s="116">
        <v>75</v>
      </c>
      <c r="M40" s="119">
        <f t="shared" ca="1" si="11"/>
        <v>0</v>
      </c>
      <c r="N40" s="119">
        <v>0</v>
      </c>
      <c r="O40" s="119">
        <v>0</v>
      </c>
      <c r="P40" s="119" t="s">
        <v>327</v>
      </c>
      <c r="R40" s="147">
        <f t="shared" si="3"/>
        <v>2022</v>
      </c>
      <c r="S40" s="145">
        <f t="shared" ca="1" si="10"/>
        <v>469.80386636818844</v>
      </c>
      <c r="T40" s="145">
        <f t="shared" ca="1" si="10"/>
        <v>434.03595666050501</v>
      </c>
      <c r="U40" s="145">
        <f t="shared" ca="1" si="10"/>
        <v>39.931556958197099</v>
      </c>
      <c r="V40" s="145">
        <f t="shared" ca="1" si="10"/>
        <v>368.61060185803819</v>
      </c>
      <c r="W40" s="145">
        <f t="shared" ca="1" si="10"/>
        <v>40.400374452332883</v>
      </c>
      <c r="X40" s="145">
        <f t="shared" ca="1" si="10"/>
        <v>429.07412172112208</v>
      </c>
      <c r="Y40" s="145">
        <f t="shared" ca="1" si="10"/>
        <v>624.618314987144</v>
      </c>
      <c r="Z40" s="145">
        <f t="shared" ca="1" si="10"/>
        <v>143.52520699447183</v>
      </c>
      <c r="AA40" s="145"/>
      <c r="AB40" s="145">
        <f t="shared" ca="1" si="5"/>
        <v>2549.9999999999995</v>
      </c>
    </row>
    <row r="41" spans="1:28">
      <c r="A41" s="116">
        <v>2023</v>
      </c>
      <c r="B41" t="s">
        <v>30</v>
      </c>
      <c r="C41" s="117" t="s">
        <v>330</v>
      </c>
      <c r="D41">
        <f>Summary!J11</f>
        <v>14848.497000000001</v>
      </c>
      <c r="E41">
        <f t="shared" si="1"/>
        <v>15145.466940000002</v>
      </c>
      <c r="H41" s="116">
        <v>2021</v>
      </c>
      <c r="I41" s="116" t="s">
        <v>347</v>
      </c>
      <c r="J41" s="116" t="s">
        <v>30</v>
      </c>
      <c r="K41" s="118" t="s">
        <v>330</v>
      </c>
      <c r="L41" s="116">
        <v>15</v>
      </c>
      <c r="M41" s="119">
        <f t="shared" ca="1" si="11"/>
        <v>213.04660094755749</v>
      </c>
      <c r="N41" s="119">
        <v>0</v>
      </c>
      <c r="O41" s="119">
        <v>0</v>
      </c>
      <c r="P41" s="119" t="s">
        <v>327</v>
      </c>
      <c r="R41" s="147">
        <f t="shared" si="3"/>
        <v>2022</v>
      </c>
      <c r="S41" s="145">
        <f t="shared" ca="1" si="10"/>
        <v>8161.8086096412635</v>
      </c>
      <c r="T41" s="145">
        <f t="shared" ca="1" si="10"/>
        <v>7540.4198678716211</v>
      </c>
      <c r="U41" s="145">
        <f t="shared" ca="1" si="10"/>
        <v>693.72295272336657</v>
      </c>
      <c r="V41" s="145">
        <f t="shared" ca="1" si="10"/>
        <v>6403.7982639593256</v>
      </c>
      <c r="W41" s="145">
        <f t="shared" ca="1" si="10"/>
        <v>701.86762528548877</v>
      </c>
      <c r="X41" s="145">
        <f t="shared" ca="1" si="10"/>
        <v>7454.2189018367098</v>
      </c>
      <c r="Y41" s="145">
        <f t="shared" ca="1" si="10"/>
        <v>10851.369062608655</v>
      </c>
      <c r="Z41" s="145">
        <f t="shared" ca="1" si="10"/>
        <v>2493.4347160735601</v>
      </c>
      <c r="AA41" s="145"/>
      <c r="AB41" s="145">
        <f t="shared" ca="1" si="5"/>
        <v>44300.639999999992</v>
      </c>
    </row>
    <row r="42" spans="1:28">
      <c r="A42" s="116">
        <v>2023</v>
      </c>
      <c r="B42" t="s">
        <v>278</v>
      </c>
      <c r="C42" s="117" t="s">
        <v>278</v>
      </c>
      <c r="D42">
        <f>Summary!J14</f>
        <v>2002937.28</v>
      </c>
      <c r="E42">
        <f t="shared" si="1"/>
        <v>2042996.0256000001</v>
      </c>
      <c r="H42" s="116">
        <v>2021</v>
      </c>
      <c r="I42" s="116" t="s">
        <v>347</v>
      </c>
      <c r="J42" s="116" t="s">
        <v>278</v>
      </c>
      <c r="K42" s="118" t="s">
        <v>278</v>
      </c>
      <c r="L42" s="116">
        <v>50</v>
      </c>
      <c r="M42" s="119">
        <f t="shared" ca="1" si="11"/>
        <v>28738.193462620911</v>
      </c>
      <c r="N42" s="119">
        <f ca="1">U108</f>
        <v>114805.37719991202</v>
      </c>
      <c r="O42" s="119">
        <f ca="1">U116</f>
        <v>9078.0140034206088</v>
      </c>
      <c r="P42" s="119" t="s">
        <v>327</v>
      </c>
      <c r="R42" s="147">
        <f t="shared" si="3"/>
        <v>2022</v>
      </c>
      <c r="S42" s="145">
        <f t="shared" ca="1" si="10"/>
        <v>105.04814451992694</v>
      </c>
      <c r="T42" s="145">
        <f t="shared" ca="1" si="10"/>
        <v>97.050439909288926</v>
      </c>
      <c r="U42" s="145">
        <f t="shared" ca="1" si="10"/>
        <v>8.9286961358528725</v>
      </c>
      <c r="V42" s="145">
        <f t="shared" ca="1" si="10"/>
        <v>82.421330575457347</v>
      </c>
      <c r="W42" s="145">
        <f t="shared" ca="1" si="10"/>
        <v>9.0335237275416347</v>
      </c>
      <c r="X42" s="145">
        <f t="shared" ca="1" si="10"/>
        <v>95.940973616842911</v>
      </c>
      <c r="Y42" s="145">
        <f t="shared" ca="1" si="10"/>
        <v>139.66465523112541</v>
      </c>
      <c r="Z42" s="145">
        <f t="shared" ca="1" si="10"/>
        <v>32.092236283963906</v>
      </c>
      <c r="AA42" s="145"/>
      <c r="AB42" s="145">
        <f t="shared" ca="1" si="5"/>
        <v>570.17999999999984</v>
      </c>
    </row>
    <row r="43" spans="1:28">
      <c r="A43" s="116">
        <v>2023</v>
      </c>
      <c r="B43" t="s">
        <v>331</v>
      </c>
      <c r="C43" s="117" t="s">
        <v>332</v>
      </c>
      <c r="D43">
        <f>Summary!J15</f>
        <v>30013.5</v>
      </c>
      <c r="E43">
        <f t="shared" si="1"/>
        <v>30613.77</v>
      </c>
      <c r="H43" s="116">
        <v>2021</v>
      </c>
      <c r="I43" s="116" t="s">
        <v>347</v>
      </c>
      <c r="J43" s="116" t="s">
        <v>331</v>
      </c>
      <c r="K43" s="118" t="s">
        <v>332</v>
      </c>
      <c r="L43" s="116">
        <v>62.5</v>
      </c>
      <c r="M43" s="119">
        <f t="shared" ca="1" si="11"/>
        <v>430.63443778447856</v>
      </c>
      <c r="N43" s="119">
        <v>0</v>
      </c>
      <c r="O43" s="119">
        <v>0</v>
      </c>
      <c r="P43" s="119" t="s">
        <v>327</v>
      </c>
      <c r="R43" s="147">
        <f t="shared" si="3"/>
        <v>2022</v>
      </c>
      <c r="S43" s="145">
        <f t="shared" ca="1" si="10"/>
        <v>751.68618618910148</v>
      </c>
      <c r="T43" s="145">
        <f t="shared" ca="1" si="10"/>
        <v>694.45753065680799</v>
      </c>
      <c r="U43" s="145">
        <f t="shared" ca="1" si="10"/>
        <v>63.890491133115361</v>
      </c>
      <c r="V43" s="145">
        <f t="shared" ca="1" si="10"/>
        <v>589.77696297286116</v>
      </c>
      <c r="W43" s="145">
        <f t="shared" ca="1" si="10"/>
        <v>64.640599123732613</v>
      </c>
      <c r="X43" s="145">
        <f t="shared" ca="1" si="10"/>
        <v>686.51859475379536</v>
      </c>
      <c r="Y43" s="145">
        <f t="shared" ca="1" si="10"/>
        <v>999.38930397943034</v>
      </c>
      <c r="Z43" s="145">
        <f t="shared" ca="1" si="10"/>
        <v>229.64033119115493</v>
      </c>
      <c r="AA43" s="145"/>
      <c r="AB43" s="145">
        <f t="shared" ca="1" si="5"/>
        <v>4079.9999999999991</v>
      </c>
    </row>
    <row r="44" spans="1:28">
      <c r="A44" s="116">
        <v>2023</v>
      </c>
      <c r="B44" t="s">
        <v>331</v>
      </c>
      <c r="C44" s="117" t="s">
        <v>333</v>
      </c>
      <c r="D44">
        <f>Summary!J16</f>
        <v>11819.862000000001</v>
      </c>
      <c r="E44">
        <f t="shared" si="1"/>
        <v>12056.259240000001</v>
      </c>
      <c r="H44" s="116">
        <v>2021</v>
      </c>
      <c r="I44" s="116" t="s">
        <v>347</v>
      </c>
      <c r="J44" s="116" t="s">
        <v>331</v>
      </c>
      <c r="K44" s="118" t="s">
        <v>333</v>
      </c>
      <c r="L44" s="116">
        <v>1</v>
      </c>
      <c r="M44" s="119">
        <f t="shared" ca="1" si="11"/>
        <v>169.59167131657827</v>
      </c>
      <c r="N44" s="119">
        <v>0</v>
      </c>
      <c r="O44" s="119">
        <v>0</v>
      </c>
      <c r="P44" s="119" t="s">
        <v>327</v>
      </c>
      <c r="R44" s="147">
        <f t="shared" si="3"/>
        <v>2022</v>
      </c>
      <c r="S44" s="145">
        <f t="shared" ca="1" si="10"/>
        <v>112.75292792836522</v>
      </c>
      <c r="T44" s="145">
        <f t="shared" ca="1" si="10"/>
        <v>104.16862959852121</v>
      </c>
      <c r="U44" s="145">
        <f t="shared" ca="1" si="10"/>
        <v>9.5835736699673042</v>
      </c>
      <c r="V44" s="145">
        <f t="shared" ca="1" si="10"/>
        <v>88.466544445929173</v>
      </c>
      <c r="W44" s="145">
        <f t="shared" ca="1" si="10"/>
        <v>9.6960898685598931</v>
      </c>
      <c r="X44" s="145">
        <f t="shared" ca="1" si="10"/>
        <v>102.9777892130693</v>
      </c>
      <c r="Y44" s="145">
        <f t="shared" ca="1" si="10"/>
        <v>149.90839559691454</v>
      </c>
      <c r="Z44" s="145">
        <f t="shared" ca="1" si="10"/>
        <v>34.446049678673241</v>
      </c>
      <c r="AA44" s="145"/>
      <c r="AB44" s="145">
        <f t="shared" ca="1" si="5"/>
        <v>611.99999999999989</v>
      </c>
    </row>
    <row r="45" spans="1:28">
      <c r="A45" s="116">
        <v>2023</v>
      </c>
      <c r="B45" t="s">
        <v>331</v>
      </c>
      <c r="C45" s="117" t="s">
        <v>334</v>
      </c>
      <c r="D45">
        <f>Summary!J17</f>
        <v>3819.9</v>
      </c>
      <c r="E45">
        <f t="shared" si="1"/>
        <v>3896.2980000000002</v>
      </c>
      <c r="H45" s="116">
        <v>2021</v>
      </c>
      <c r="I45" s="116" t="s">
        <v>347</v>
      </c>
      <c r="J45" s="116" t="s">
        <v>331</v>
      </c>
      <c r="K45" s="118" t="s">
        <v>334</v>
      </c>
      <c r="L45" s="116">
        <v>1</v>
      </c>
      <c r="M45" s="119">
        <f t="shared" ca="1" si="11"/>
        <v>54.808019354388179</v>
      </c>
      <c r="N45" s="119">
        <v>0</v>
      </c>
      <c r="O45" s="119">
        <v>0</v>
      </c>
      <c r="P45" s="119" t="s">
        <v>327</v>
      </c>
      <c r="R45" s="147">
        <f t="shared" si="3"/>
        <v>2022</v>
      </c>
      <c r="S45" s="145">
        <f t="shared" ca="1" si="10"/>
        <v>3541.9453093230459</v>
      </c>
      <c r="T45" s="145">
        <f t="shared" ca="1" si="10"/>
        <v>3272.2838844548792</v>
      </c>
      <c r="U45" s="145">
        <f t="shared" ca="1" si="10"/>
        <v>301.05199421923959</v>
      </c>
      <c r="V45" s="145">
        <f t="shared" ca="1" si="10"/>
        <v>2779.0290495281215</v>
      </c>
      <c r="W45" s="145">
        <f t="shared" ca="1" si="10"/>
        <v>304.58650307102806</v>
      </c>
      <c r="X45" s="145">
        <f t="shared" ca="1" si="10"/>
        <v>3234.8756184798835</v>
      </c>
      <c r="Y45" s="145">
        <f t="shared" ca="1" si="10"/>
        <v>4709.1224003510761</v>
      </c>
      <c r="Z45" s="145">
        <f t="shared" ca="1" si="10"/>
        <v>1082.0652405727219</v>
      </c>
      <c r="AA45" s="145"/>
      <c r="AB45" s="145">
        <f t="shared" ca="1" si="5"/>
        <v>19224.96</v>
      </c>
    </row>
    <row r="46" spans="1:28">
      <c r="A46" s="116">
        <v>2023</v>
      </c>
      <c r="B46" t="s">
        <v>331</v>
      </c>
      <c r="C46" s="117" t="s">
        <v>335</v>
      </c>
      <c r="D46">
        <f>Summary!J18</f>
        <v>2728.5</v>
      </c>
      <c r="E46">
        <f>D46*1.02</f>
        <v>2783.07</v>
      </c>
      <c r="H46" s="116">
        <v>2021</v>
      </c>
      <c r="I46" s="116" t="s">
        <v>347</v>
      </c>
      <c r="J46" s="116" t="s">
        <v>331</v>
      </c>
      <c r="K46" s="118" t="s">
        <v>335</v>
      </c>
      <c r="L46" s="116">
        <v>2</v>
      </c>
      <c r="M46" s="119">
        <f t="shared" ca="1" si="11"/>
        <v>39.148585253134414</v>
      </c>
      <c r="N46" s="119">
        <v>0</v>
      </c>
      <c r="O46" s="119">
        <v>0</v>
      </c>
      <c r="P46" s="119" t="s">
        <v>327</v>
      </c>
      <c r="R46" s="147">
        <f t="shared" ref="R46:R77" si="12">A34</f>
        <v>2022</v>
      </c>
      <c r="S46" s="145">
        <f t="shared" ref="S46:Z55" ca="1" si="13">S$13/SUM($S$13:$Z$13)*$D34</f>
        <v>14723.277328885932</v>
      </c>
      <c r="T46" s="145">
        <f t="shared" ca="1" si="13"/>
        <v>13602.339652974899</v>
      </c>
      <c r="U46" s="145">
        <f t="shared" ca="1" si="13"/>
        <v>1251.4230498243307</v>
      </c>
      <c r="V46" s="145">
        <f t="shared" ca="1" si="13"/>
        <v>11551.961373749431</v>
      </c>
      <c r="W46" s="145">
        <f t="shared" ca="1" si="13"/>
        <v>1266.115415036551</v>
      </c>
      <c r="X46" s="145">
        <f t="shared" ca="1" si="13"/>
        <v>13446.839715442591</v>
      </c>
      <c r="Y46" s="145">
        <f t="shared" ca="1" si="13"/>
        <v>19575.038297045103</v>
      </c>
      <c r="Z46" s="145">
        <f t="shared" ca="1" si="13"/>
        <v>4497.9651670411522</v>
      </c>
      <c r="AA46" s="145"/>
      <c r="AB46" s="145">
        <f t="shared" ref="AB46:AB77" ca="1" si="14">SUM(S46:Z46)</f>
        <v>79914.959999999992</v>
      </c>
    </row>
    <row r="47" spans="1:28">
      <c r="A47" s="116">
        <v>2023</v>
      </c>
      <c r="B47" t="s">
        <v>331</v>
      </c>
      <c r="C47" s="117" t="s">
        <v>336</v>
      </c>
      <c r="D47">
        <f>Summary!J19</f>
        <v>47401.684800000003</v>
      </c>
      <c r="E47">
        <f t="shared" si="1"/>
        <v>48349.718496000001</v>
      </c>
      <c r="H47" s="116">
        <v>2021</v>
      </c>
      <c r="I47" s="116" t="s">
        <v>347</v>
      </c>
      <c r="J47" s="116" t="s">
        <v>331</v>
      </c>
      <c r="K47" s="118" t="s">
        <v>336</v>
      </c>
      <c r="L47" s="116">
        <v>2</v>
      </c>
      <c r="M47" s="119">
        <f t="shared" ca="1" si="11"/>
        <v>680.12054188565355</v>
      </c>
      <c r="N47" s="119">
        <v>0</v>
      </c>
      <c r="O47" s="119">
        <v>0</v>
      </c>
      <c r="P47" s="119" t="s">
        <v>327</v>
      </c>
      <c r="R47" s="147">
        <f t="shared" si="12"/>
        <v>2022</v>
      </c>
      <c r="S47" s="145">
        <f t="shared" ca="1" si="13"/>
        <v>1509.2679503090978</v>
      </c>
      <c r="T47" s="145">
        <f t="shared" ca="1" si="13"/>
        <v>1394.3617870442577</v>
      </c>
      <c r="U47" s="145">
        <f t="shared" ca="1" si="13"/>
        <v>128.28208415747085</v>
      </c>
      <c r="V47" s="145">
        <f t="shared" ca="1" si="13"/>
        <v>1184.1796276160976</v>
      </c>
      <c r="W47" s="145">
        <f t="shared" ca="1" si="13"/>
        <v>129.78818333863177</v>
      </c>
      <c r="X47" s="145">
        <f t="shared" ca="1" si="13"/>
        <v>1378.4216490742872</v>
      </c>
      <c r="Y47" s="145">
        <f t="shared" ca="1" si="13"/>
        <v>2006.6169554410524</v>
      </c>
      <c r="Z47" s="145">
        <f t="shared" ca="1" si="13"/>
        <v>461.08176301910322</v>
      </c>
      <c r="AA47" s="145"/>
      <c r="AB47" s="145">
        <f t="shared" ca="1" si="14"/>
        <v>8191.9999999999982</v>
      </c>
    </row>
    <row r="48" spans="1:28">
      <c r="A48" s="116">
        <v>2023</v>
      </c>
      <c r="B48" t="s">
        <v>331</v>
      </c>
      <c r="C48" s="117" t="s">
        <v>337</v>
      </c>
      <c r="D48">
        <f>Summary!J20</f>
        <v>610.09260000000006</v>
      </c>
      <c r="E48">
        <f t="shared" si="1"/>
        <v>622.29445200000009</v>
      </c>
      <c r="H48" s="116">
        <v>2021</v>
      </c>
      <c r="I48" s="116" t="s">
        <v>347</v>
      </c>
      <c r="J48" s="116" t="s">
        <v>331</v>
      </c>
      <c r="K48" s="118" t="s">
        <v>337</v>
      </c>
      <c r="L48" s="116">
        <v>1</v>
      </c>
      <c r="M48" s="119">
        <f t="shared" ca="1" si="11"/>
        <v>8.7536236626008552</v>
      </c>
      <c r="N48" s="119">
        <v>0</v>
      </c>
      <c r="O48" s="119">
        <v>0</v>
      </c>
      <c r="P48" s="119" t="s">
        <v>327</v>
      </c>
      <c r="R48" s="147">
        <f t="shared" si="12"/>
        <v>2022</v>
      </c>
      <c r="S48" s="145">
        <f t="shared" ca="1" si="13"/>
        <v>339.36420464713848</v>
      </c>
      <c r="T48" s="145">
        <f t="shared" ca="1" si="13"/>
        <v>313.52714987005891</v>
      </c>
      <c r="U48" s="145">
        <f t="shared" ca="1" si="13"/>
        <v>28.844677614509436</v>
      </c>
      <c r="V48" s="145">
        <f t="shared" ca="1" si="13"/>
        <v>266.26695240098286</v>
      </c>
      <c r="W48" s="145">
        <f t="shared" ca="1" si="13"/>
        <v>29.183329310273404</v>
      </c>
      <c r="X48" s="145">
        <f t="shared" ca="1" si="13"/>
        <v>309.94295380796348</v>
      </c>
      <c r="Y48" s="145">
        <f t="shared" ca="1" si="13"/>
        <v>451.19487694365461</v>
      </c>
      <c r="Z48" s="145">
        <f t="shared" ca="1" si="13"/>
        <v>103.67585540541847</v>
      </c>
      <c r="AA48" s="145"/>
      <c r="AB48" s="145">
        <f t="shared" ca="1" si="14"/>
        <v>1841.9999999999995</v>
      </c>
    </row>
    <row r="49" spans="1:28">
      <c r="A49" s="116">
        <v>2023</v>
      </c>
      <c r="B49" t="s">
        <v>331</v>
      </c>
      <c r="C49" s="117" t="s">
        <v>338</v>
      </c>
      <c r="D49">
        <f>Summary!J21</f>
        <v>4365.6000000000004</v>
      </c>
      <c r="E49">
        <f t="shared" si="1"/>
        <v>4452.9120000000003</v>
      </c>
      <c r="H49" s="116">
        <v>2021</v>
      </c>
      <c r="I49" s="116" t="s">
        <v>347</v>
      </c>
      <c r="J49" s="116" t="s">
        <v>331</v>
      </c>
      <c r="K49" s="118" t="s">
        <v>338</v>
      </c>
      <c r="L49" s="116">
        <v>4</v>
      </c>
      <c r="M49" s="119">
        <f t="shared" ca="1" si="11"/>
        <v>62.637736405015062</v>
      </c>
      <c r="N49" s="119">
        <v>0</v>
      </c>
      <c r="O49" s="119">
        <v>0</v>
      </c>
      <c r="P49" s="119" t="s">
        <v>327</v>
      </c>
      <c r="R49" s="147">
        <f t="shared" si="12"/>
        <v>2022</v>
      </c>
      <c r="S49" s="145">
        <f t="shared" ca="1" si="13"/>
        <v>7737.9460342995735</v>
      </c>
      <c r="T49" s="145">
        <f t="shared" ca="1" si="13"/>
        <v>7148.8275214671412</v>
      </c>
      <c r="U49" s="145">
        <f t="shared" ca="1" si="13"/>
        <v>657.69623225265821</v>
      </c>
      <c r="V49" s="145">
        <f t="shared" ca="1" si="13"/>
        <v>6071.2334423676875</v>
      </c>
      <c r="W49" s="145">
        <f t="shared" ca="1" si="13"/>
        <v>665.41793215607106</v>
      </c>
      <c r="X49" s="145">
        <f t="shared" ca="1" si="13"/>
        <v>7067.1031812890697</v>
      </c>
      <c r="Y49" s="145">
        <f t="shared" ca="1" si="13"/>
        <v>10287.831070376489</v>
      </c>
      <c r="Z49" s="145">
        <f t="shared" ca="1" si="13"/>
        <v>2363.9445857913006</v>
      </c>
      <c r="AA49" s="145"/>
      <c r="AB49" s="145">
        <f t="shared" ca="1" si="14"/>
        <v>41999.999999999985</v>
      </c>
    </row>
    <row r="50" spans="1:28">
      <c r="A50" s="116">
        <v>2023</v>
      </c>
      <c r="B50" t="s">
        <v>331</v>
      </c>
      <c r="C50" s="117" t="s">
        <v>341</v>
      </c>
      <c r="D50">
        <f>Summary!J22</f>
        <v>654.84</v>
      </c>
      <c r="E50">
        <f t="shared" si="1"/>
        <v>667.93680000000006</v>
      </c>
      <c r="H50" s="116">
        <v>2021</v>
      </c>
      <c r="I50" s="116" t="s">
        <v>347</v>
      </c>
      <c r="J50" s="116" t="s">
        <v>331</v>
      </c>
      <c r="K50" s="118" t="s">
        <v>341</v>
      </c>
      <c r="L50" s="116">
        <v>5</v>
      </c>
      <c r="M50" s="119">
        <f t="shared" ca="1" si="11"/>
        <v>9.3956604607522589</v>
      </c>
      <c r="N50" s="119">
        <v>0</v>
      </c>
      <c r="O50" s="119">
        <v>0</v>
      </c>
      <c r="P50" s="119" t="s">
        <v>327</v>
      </c>
      <c r="R50" s="147">
        <f t="shared" si="12"/>
        <v>2023</v>
      </c>
      <c r="S50" s="145">
        <f t="shared" ca="1" si="13"/>
        <v>0</v>
      </c>
      <c r="T50" s="145">
        <f t="shared" ca="1" si="13"/>
        <v>0</v>
      </c>
      <c r="U50" s="145">
        <f t="shared" ca="1" si="13"/>
        <v>0</v>
      </c>
      <c r="V50" s="145">
        <f t="shared" ca="1" si="13"/>
        <v>0</v>
      </c>
      <c r="W50" s="145">
        <f t="shared" ca="1" si="13"/>
        <v>0</v>
      </c>
      <c r="X50" s="145">
        <f t="shared" ca="1" si="13"/>
        <v>0</v>
      </c>
      <c r="Y50" s="145">
        <f t="shared" ca="1" si="13"/>
        <v>0</v>
      </c>
      <c r="Z50" s="145">
        <f t="shared" ca="1" si="13"/>
        <v>0</v>
      </c>
      <c r="AA50" s="145"/>
      <c r="AB50" s="145">
        <f t="shared" ca="1" si="14"/>
        <v>0</v>
      </c>
    </row>
    <row r="51" spans="1:28">
      <c r="A51" s="116">
        <v>2023</v>
      </c>
      <c r="B51" t="s">
        <v>331</v>
      </c>
      <c r="C51" s="117" t="s">
        <v>342</v>
      </c>
      <c r="D51">
        <f>Summary!J23</f>
        <v>20570.707200000001</v>
      </c>
      <c r="E51">
        <f t="shared" si="1"/>
        <v>20982.121344000003</v>
      </c>
      <c r="H51" s="116">
        <v>2021</v>
      </c>
      <c r="I51" s="116" t="s">
        <v>347</v>
      </c>
      <c r="J51" s="116" t="s">
        <v>331</v>
      </c>
      <c r="K51" s="118" t="s">
        <v>342</v>
      </c>
      <c r="L51" s="116">
        <v>1</v>
      </c>
      <c r="M51" s="119">
        <f t="shared" ca="1" si="11"/>
        <v>295.14901394043096</v>
      </c>
      <c r="N51" s="119">
        <v>0</v>
      </c>
      <c r="O51" s="119">
        <v>0</v>
      </c>
      <c r="P51" s="119" t="s">
        <v>327</v>
      </c>
      <c r="R51" s="147">
        <f t="shared" si="12"/>
        <v>2023</v>
      </c>
      <c r="S51" s="145">
        <f t="shared" ca="1" si="13"/>
        <v>7238.7379730010471</v>
      </c>
      <c r="T51" s="145">
        <f t="shared" ca="1" si="13"/>
        <v>6687.6260202250614</v>
      </c>
      <c r="U51" s="145">
        <f t="shared" ca="1" si="13"/>
        <v>615.26542961190103</v>
      </c>
      <c r="V51" s="145">
        <f t="shared" ca="1" si="13"/>
        <v>5679.5521534286527</v>
      </c>
      <c r="W51" s="145">
        <f t="shared" ca="1" si="13"/>
        <v>622.4889695615451</v>
      </c>
      <c r="X51" s="145">
        <f t="shared" ca="1" si="13"/>
        <v>6611.1740674790499</v>
      </c>
      <c r="Y51" s="145">
        <f t="shared" ca="1" si="13"/>
        <v>9624.1189973219152</v>
      </c>
      <c r="Z51" s="145">
        <f t="shared" ca="1" si="13"/>
        <v>2211.4363893708219</v>
      </c>
      <c r="AA51" s="145"/>
      <c r="AB51" s="145">
        <f t="shared" ca="1" si="14"/>
        <v>39290.399999999994</v>
      </c>
    </row>
    <row r="52" spans="1:28">
      <c r="A52" s="116">
        <v>2023</v>
      </c>
      <c r="B52" t="s">
        <v>343</v>
      </c>
      <c r="C52" s="117" t="s">
        <v>289</v>
      </c>
      <c r="D52">
        <f>Summary!J25</f>
        <v>85509.007200000007</v>
      </c>
      <c r="E52">
        <f t="shared" si="1"/>
        <v>87219.187344000005</v>
      </c>
      <c r="H52" s="116">
        <v>2021</v>
      </c>
      <c r="I52" s="116" t="s">
        <v>347</v>
      </c>
      <c r="J52" s="116" t="s">
        <v>343</v>
      </c>
      <c r="K52" s="118" t="s">
        <v>289</v>
      </c>
      <c r="L52" s="116">
        <v>2</v>
      </c>
      <c r="M52" s="119">
        <f t="shared" ca="1" si="11"/>
        <v>1226.8853429650301</v>
      </c>
      <c r="N52" s="119">
        <v>0</v>
      </c>
      <c r="O52" s="119">
        <v>0</v>
      </c>
      <c r="P52" s="119" t="s">
        <v>327</v>
      </c>
      <c r="R52" s="147">
        <f t="shared" si="12"/>
        <v>2023</v>
      </c>
      <c r="S52" s="145">
        <f t="shared" ca="1" si="13"/>
        <v>0</v>
      </c>
      <c r="T52" s="145">
        <f t="shared" ca="1" si="13"/>
        <v>0</v>
      </c>
      <c r="U52" s="145">
        <f t="shared" ca="1" si="13"/>
        <v>0</v>
      </c>
      <c r="V52" s="145">
        <f t="shared" ca="1" si="13"/>
        <v>0</v>
      </c>
      <c r="W52" s="145">
        <f t="shared" ca="1" si="13"/>
        <v>0</v>
      </c>
      <c r="X52" s="145">
        <f t="shared" ca="1" si="13"/>
        <v>0</v>
      </c>
      <c r="Y52" s="145">
        <f t="shared" ca="1" si="13"/>
        <v>0</v>
      </c>
      <c r="Z52" s="145">
        <f t="shared" ca="1" si="13"/>
        <v>0</v>
      </c>
      <c r="AA52" s="145"/>
      <c r="AB52" s="145">
        <f t="shared" ca="1" si="14"/>
        <v>0</v>
      </c>
    </row>
    <row r="53" spans="1:28">
      <c r="A53" s="116">
        <v>2023</v>
      </c>
      <c r="B53" t="s">
        <v>344</v>
      </c>
      <c r="C53" s="117" t="s">
        <v>291</v>
      </c>
      <c r="D53">
        <f>Summary!J29+Summary!J30</f>
        <v>8192</v>
      </c>
      <c r="E53">
        <f t="shared" si="1"/>
        <v>8355.84</v>
      </c>
      <c r="H53" s="116">
        <v>2021</v>
      </c>
      <c r="I53" s="116" t="s">
        <v>347</v>
      </c>
      <c r="J53" s="116" t="s">
        <v>344</v>
      </c>
      <c r="K53" s="118" t="s">
        <v>291</v>
      </c>
      <c r="L53" s="116">
        <v>2</v>
      </c>
      <c r="M53" s="119">
        <f t="shared" ca="1" si="11"/>
        <v>128.28208415747085</v>
      </c>
      <c r="N53" s="119">
        <v>0</v>
      </c>
      <c r="O53" s="119">
        <v>0</v>
      </c>
      <c r="P53" s="119" t="s">
        <v>345</v>
      </c>
      <c r="R53" s="147">
        <f t="shared" si="12"/>
        <v>2023</v>
      </c>
      <c r="S53" s="145">
        <f t="shared" ca="1" si="13"/>
        <v>2735.6397256299792</v>
      </c>
      <c r="T53" s="145">
        <f t="shared" ca="1" si="13"/>
        <v>2527.3653334767214</v>
      </c>
      <c r="U53" s="145">
        <f t="shared" ca="1" si="13"/>
        <v>232.51906027416425</v>
      </c>
      <c r="V53" s="145">
        <f t="shared" ca="1" si="13"/>
        <v>2146.3974179832453</v>
      </c>
      <c r="W53" s="145">
        <f t="shared" ca="1" si="13"/>
        <v>235.24895641346728</v>
      </c>
      <c r="X53" s="145">
        <f t="shared" ca="1" si="13"/>
        <v>2498.472866334791</v>
      </c>
      <c r="Y53" s="145">
        <f t="shared" ca="1" si="13"/>
        <v>3637.1149710712407</v>
      </c>
      <c r="Z53" s="145">
        <f t="shared" ca="1" si="13"/>
        <v>835.7386688163898</v>
      </c>
      <c r="AA53" s="145"/>
      <c r="AB53" s="145">
        <f t="shared" ca="1" si="14"/>
        <v>14848.496999999999</v>
      </c>
    </row>
    <row r="54" spans="1:28">
      <c r="A54" s="116">
        <v>2023</v>
      </c>
      <c r="B54" t="s">
        <v>344</v>
      </c>
      <c r="C54" s="117" t="s">
        <v>292</v>
      </c>
      <c r="D54">
        <f>Summary!J32+Summary!J33</f>
        <v>1842</v>
      </c>
      <c r="E54">
        <f t="shared" si="1"/>
        <v>1878.8400000000001</v>
      </c>
      <c r="H54" s="116">
        <v>2021</v>
      </c>
      <c r="I54" s="116" t="s">
        <v>347</v>
      </c>
      <c r="J54" s="116" t="s">
        <v>344</v>
      </c>
      <c r="K54" s="118" t="s">
        <v>292</v>
      </c>
      <c r="L54" s="116">
        <v>3</v>
      </c>
      <c r="M54" s="119">
        <f t="shared" ca="1" si="11"/>
        <v>28.844677614509436</v>
      </c>
      <c r="N54" s="119">
        <v>0</v>
      </c>
      <c r="O54" s="119">
        <v>0</v>
      </c>
      <c r="P54" s="119" t="s">
        <v>345</v>
      </c>
      <c r="R54" s="147">
        <f t="shared" si="12"/>
        <v>2023</v>
      </c>
      <c r="S54" s="145">
        <f t="shared" ca="1" si="13"/>
        <v>369014.77577920893</v>
      </c>
      <c r="T54" s="145">
        <f t="shared" ca="1" si="13"/>
        <v>340920.31311991758</v>
      </c>
      <c r="U54" s="145">
        <f t="shared" ca="1" si="13"/>
        <v>31364.864345104463</v>
      </c>
      <c r="V54" s="145">
        <f t="shared" ca="1" si="13"/>
        <v>289530.94755478512</v>
      </c>
      <c r="W54" s="145">
        <f t="shared" ca="1" si="13"/>
        <v>31733.104359426321</v>
      </c>
      <c r="X54" s="145">
        <f t="shared" ca="1" si="13"/>
        <v>337022.96246215422</v>
      </c>
      <c r="Y54" s="145">
        <f t="shared" ca="1" si="13"/>
        <v>490616.19955236604</v>
      </c>
      <c r="Z54" s="145">
        <f t="shared" ca="1" si="13"/>
        <v>112734.11282703701</v>
      </c>
      <c r="AA54" s="145"/>
      <c r="AB54" s="145">
        <f t="shared" ca="1" si="14"/>
        <v>2002937.2799999996</v>
      </c>
    </row>
    <row r="55" spans="1:28">
      <c r="A55" s="116">
        <v>2023</v>
      </c>
      <c r="B55" t="s">
        <v>295</v>
      </c>
      <c r="C55" s="117" t="s">
        <v>295</v>
      </c>
      <c r="D55">
        <f>Summary!J37</f>
        <v>44100</v>
      </c>
      <c r="E55">
        <f t="shared" si="1"/>
        <v>44982</v>
      </c>
      <c r="H55" s="116">
        <v>2021</v>
      </c>
      <c r="I55" s="116" t="s">
        <v>347</v>
      </c>
      <c r="J55" s="116" t="s">
        <v>295</v>
      </c>
      <c r="K55" s="118" t="s">
        <v>295</v>
      </c>
      <c r="L55" s="116">
        <v>2</v>
      </c>
      <c r="M55" s="119">
        <f t="shared" ca="1" si="11"/>
        <v>626.37736405015062</v>
      </c>
      <c r="N55" s="119">
        <v>0</v>
      </c>
      <c r="O55" s="119">
        <v>0</v>
      </c>
      <c r="P55" s="119" t="s">
        <v>327</v>
      </c>
      <c r="R55" s="147">
        <f t="shared" si="12"/>
        <v>2023</v>
      </c>
      <c r="S55" s="145">
        <f t="shared" ca="1" si="13"/>
        <v>5529.5915071535774</v>
      </c>
      <c r="T55" s="145">
        <f t="shared" ca="1" si="13"/>
        <v>5108.6032098941441</v>
      </c>
      <c r="U55" s="145">
        <f t="shared" ca="1" si="13"/>
        <v>469.99442539797991</v>
      </c>
      <c r="V55" s="145">
        <f t="shared" ca="1" si="13"/>
        <v>4338.5467838691093</v>
      </c>
      <c r="W55" s="145">
        <f t="shared" ca="1" si="13"/>
        <v>475.51240730395807</v>
      </c>
      <c r="X55" s="145">
        <f t="shared" ca="1" si="13"/>
        <v>5050.2024126576071</v>
      </c>
      <c r="Y55" s="145">
        <f t="shared" ca="1" si="13"/>
        <v>7351.7575673986848</v>
      </c>
      <c r="Z55" s="145">
        <f t="shared" ca="1" si="13"/>
        <v>1689.2916863249334</v>
      </c>
      <c r="AA55" s="145"/>
      <c r="AB55" s="145">
        <f t="shared" ca="1" si="14"/>
        <v>30013.499999999993</v>
      </c>
    </row>
    <row r="56" spans="1:28">
      <c r="A56" s="116">
        <v>2024</v>
      </c>
      <c r="B56" t="s">
        <v>30</v>
      </c>
      <c r="C56" s="117" t="s">
        <v>31</v>
      </c>
      <c r="D56">
        <f>Summary!K8</f>
        <v>0</v>
      </c>
      <c r="E56">
        <f t="shared" si="1"/>
        <v>0</v>
      </c>
      <c r="H56" s="116">
        <v>2021</v>
      </c>
      <c r="I56" s="116" t="s">
        <v>348</v>
      </c>
      <c r="J56" s="116" t="s">
        <v>30</v>
      </c>
      <c r="K56" s="118" t="s">
        <v>31</v>
      </c>
      <c r="L56" s="116">
        <v>255</v>
      </c>
      <c r="M56" s="119">
        <f t="shared" ref="M56:M73" ca="1" si="15">V14</f>
        <v>0</v>
      </c>
      <c r="N56" s="119">
        <v>0</v>
      </c>
      <c r="O56" s="119">
        <v>0</v>
      </c>
      <c r="P56" s="119" t="s">
        <v>327</v>
      </c>
      <c r="R56" s="147">
        <f t="shared" si="12"/>
        <v>2023</v>
      </c>
      <c r="S56" s="145">
        <f t="shared" ref="S56:Z65" ca="1" si="16">S$13/SUM($S$13:$Z$13)*$D44</f>
        <v>2177.653673544482</v>
      </c>
      <c r="T56" s="145">
        <f t="shared" ca="1" si="16"/>
        <v>2011.8608277510393</v>
      </c>
      <c r="U56" s="145">
        <f t="shared" ca="1" si="16"/>
        <v>185.09235007491355</v>
      </c>
      <c r="V56" s="145">
        <f t="shared" ca="1" si="16"/>
        <v>1708.5986061564531</v>
      </c>
      <c r="W56" s="145">
        <f t="shared" ca="1" si="16"/>
        <v>187.26543167643152</v>
      </c>
      <c r="X56" s="145">
        <f t="shared" ca="1" si="16"/>
        <v>1988.8615319666142</v>
      </c>
      <c r="Y56" s="145">
        <f t="shared" ca="1" si="16"/>
        <v>2895.2557983610095</v>
      </c>
      <c r="Z56" s="145">
        <f t="shared" ca="1" si="16"/>
        <v>665.27378046905562</v>
      </c>
      <c r="AA56" s="145"/>
      <c r="AB56" s="145">
        <f t="shared" ca="1" si="14"/>
        <v>11819.861999999999</v>
      </c>
    </row>
    <row r="57" spans="1:28">
      <c r="A57" s="116">
        <v>2024</v>
      </c>
      <c r="B57" t="s">
        <v>30</v>
      </c>
      <c r="C57" s="117" t="s">
        <v>328</v>
      </c>
      <c r="D57">
        <f>Summary!K9</f>
        <v>38504.592000000004</v>
      </c>
      <c r="E57">
        <f t="shared" si="1"/>
        <v>39274.683840000005</v>
      </c>
      <c r="H57" s="116">
        <v>2021</v>
      </c>
      <c r="I57" s="116" t="s">
        <v>348</v>
      </c>
      <c r="J57" s="116" t="s">
        <v>30</v>
      </c>
      <c r="K57" s="118" t="s">
        <v>328</v>
      </c>
      <c r="L57" s="116">
        <v>165</v>
      </c>
      <c r="M57" s="119">
        <f t="shared" ca="1" si="15"/>
        <v>5203.9143791723036</v>
      </c>
      <c r="N57" s="119">
        <v>0</v>
      </c>
      <c r="O57" s="119">
        <v>0</v>
      </c>
      <c r="P57" s="119" t="s">
        <v>327</v>
      </c>
      <c r="R57" s="147">
        <f t="shared" si="12"/>
        <v>2023</v>
      </c>
      <c r="S57" s="145">
        <f t="shared" ca="1" si="16"/>
        <v>703.76619181954629</v>
      </c>
      <c r="T57" s="145">
        <f t="shared" ca="1" si="16"/>
        <v>650.18586307743647</v>
      </c>
      <c r="U57" s="145">
        <f t="shared" ca="1" si="16"/>
        <v>59.817472323379263</v>
      </c>
      <c r="V57" s="145">
        <f t="shared" ca="1" si="16"/>
        <v>552.17868158334124</v>
      </c>
      <c r="W57" s="145">
        <f t="shared" ca="1" si="16"/>
        <v>60.519760929594668</v>
      </c>
      <c r="X57" s="145">
        <f t="shared" ca="1" si="16"/>
        <v>642.75303433824092</v>
      </c>
      <c r="Y57" s="145">
        <f t="shared" ca="1" si="16"/>
        <v>935.67823585074177</v>
      </c>
      <c r="Z57" s="145">
        <f t="shared" ca="1" si="16"/>
        <v>215.00076007771881</v>
      </c>
      <c r="AA57" s="145"/>
      <c r="AB57" s="145">
        <f t="shared" ca="1" si="14"/>
        <v>3819.8999999999992</v>
      </c>
    </row>
    <row r="58" spans="1:28">
      <c r="A58" s="116">
        <v>2024</v>
      </c>
      <c r="B58" t="s">
        <v>30</v>
      </c>
      <c r="C58" s="117" t="s">
        <v>329</v>
      </c>
      <c r="D58">
        <f>Summary!K10</f>
        <v>0</v>
      </c>
      <c r="E58">
        <f t="shared" si="1"/>
        <v>0</v>
      </c>
      <c r="H58" s="116">
        <v>2021</v>
      </c>
      <c r="I58" s="116" t="s">
        <v>348</v>
      </c>
      <c r="J58" s="116" t="s">
        <v>30</v>
      </c>
      <c r="K58" s="118" t="s">
        <v>329</v>
      </c>
      <c r="L58" s="116">
        <v>75</v>
      </c>
      <c r="M58" s="119">
        <f t="shared" ca="1" si="15"/>
        <v>0</v>
      </c>
      <c r="N58" s="119">
        <v>0</v>
      </c>
      <c r="O58" s="119">
        <v>0</v>
      </c>
      <c r="P58" s="119" t="s">
        <v>327</v>
      </c>
      <c r="R58" s="147">
        <f t="shared" si="12"/>
        <v>2023</v>
      </c>
      <c r="S58" s="145">
        <f t="shared" ca="1" si="16"/>
        <v>502.69013701396159</v>
      </c>
      <c r="T58" s="145">
        <f t="shared" ca="1" si="16"/>
        <v>464.41847362674037</v>
      </c>
      <c r="U58" s="145">
        <f t="shared" ca="1" si="16"/>
        <v>42.726765945270898</v>
      </c>
      <c r="V58" s="145">
        <f t="shared" ca="1" si="16"/>
        <v>394.41334398810085</v>
      </c>
      <c r="W58" s="145">
        <f t="shared" ca="1" si="16"/>
        <v>43.22840066399619</v>
      </c>
      <c r="X58" s="145">
        <f t="shared" ca="1" si="16"/>
        <v>459.10931024160067</v>
      </c>
      <c r="Y58" s="145">
        <f t="shared" ca="1" si="16"/>
        <v>668.34159703624402</v>
      </c>
      <c r="Z58" s="145">
        <f t="shared" ca="1" si="16"/>
        <v>153.57197148408486</v>
      </c>
      <c r="AA58" s="145"/>
      <c r="AB58" s="145">
        <f t="shared" ca="1" si="14"/>
        <v>2728.4999999999995</v>
      </c>
    </row>
    <row r="59" spans="1:28">
      <c r="A59" s="116">
        <v>2024</v>
      </c>
      <c r="B59" t="s">
        <v>30</v>
      </c>
      <c r="C59" s="117" t="s">
        <v>330</v>
      </c>
      <c r="D59">
        <f>Summary!K11</f>
        <v>14551.52706</v>
      </c>
      <c r="E59">
        <f t="shared" si="1"/>
        <v>14842.5576012</v>
      </c>
      <c r="H59" s="116">
        <v>2021</v>
      </c>
      <c r="I59" s="116" t="s">
        <v>348</v>
      </c>
      <c r="J59" s="116" t="s">
        <v>30</v>
      </c>
      <c r="K59" s="118" t="s">
        <v>330</v>
      </c>
      <c r="L59" s="116">
        <v>15</v>
      </c>
      <c r="M59" s="119">
        <f t="shared" ca="1" si="15"/>
        <v>1966.6459757955331</v>
      </c>
      <c r="N59" s="119">
        <v>0</v>
      </c>
      <c r="O59" s="119">
        <v>0</v>
      </c>
      <c r="P59" s="119" t="s">
        <v>327</v>
      </c>
      <c r="R59" s="147">
        <f t="shared" si="12"/>
        <v>2023</v>
      </c>
      <c r="S59" s="145">
        <f t="shared" ca="1" si="16"/>
        <v>8733.1352123161523</v>
      </c>
      <c r="T59" s="145">
        <f t="shared" ca="1" si="16"/>
        <v>8068.2492586226354</v>
      </c>
      <c r="U59" s="145">
        <f t="shared" ca="1" si="16"/>
        <v>742.2835594140023</v>
      </c>
      <c r="V59" s="145">
        <f t="shared" ca="1" si="16"/>
        <v>6852.0641424364794</v>
      </c>
      <c r="W59" s="145">
        <f t="shared" ca="1" si="16"/>
        <v>750.99835905547309</v>
      </c>
      <c r="X59" s="145">
        <f t="shared" ca="1" si="16"/>
        <v>7976.0142249652799</v>
      </c>
      <c r="Y59" s="145">
        <f t="shared" ca="1" si="16"/>
        <v>11610.964896991261</v>
      </c>
      <c r="Z59" s="145">
        <f t="shared" ca="1" si="16"/>
        <v>2667.9751461987094</v>
      </c>
      <c r="AA59" s="145"/>
      <c r="AB59" s="145">
        <f t="shared" ca="1" si="14"/>
        <v>47401.684799999995</v>
      </c>
    </row>
    <row r="60" spans="1:28">
      <c r="A60" s="116">
        <v>2024</v>
      </c>
      <c r="B60" t="s">
        <v>278</v>
      </c>
      <c r="C60" s="117" t="s">
        <v>278</v>
      </c>
      <c r="D60">
        <f>Summary!K14</f>
        <v>1962878.5344</v>
      </c>
      <c r="E60">
        <f t="shared" si="1"/>
        <v>2002136.105088</v>
      </c>
      <c r="H60" s="116">
        <v>2021</v>
      </c>
      <c r="I60" s="116" t="s">
        <v>348</v>
      </c>
      <c r="J60" s="116" t="s">
        <v>278</v>
      </c>
      <c r="K60" s="118" t="s">
        <v>278</v>
      </c>
      <c r="L60" s="116">
        <v>50</v>
      </c>
      <c r="M60" s="119">
        <f t="shared" ca="1" si="15"/>
        <v>265283.99079602811</v>
      </c>
      <c r="N60" s="119">
        <f ca="1">V108</f>
        <v>130980.69932336397</v>
      </c>
      <c r="O60" s="119">
        <f ca="1">V116</f>
        <v>10357.046434896723</v>
      </c>
      <c r="P60" s="119" t="s">
        <v>327</v>
      </c>
      <c r="R60" s="147">
        <f t="shared" si="12"/>
        <v>2023</v>
      </c>
      <c r="S60" s="145">
        <f t="shared" ca="1" si="16"/>
        <v>112.40151463632182</v>
      </c>
      <c r="T60" s="145">
        <f t="shared" ca="1" si="16"/>
        <v>103.84397070293916</v>
      </c>
      <c r="U60" s="145">
        <f t="shared" ca="1" si="16"/>
        <v>9.5537048653625742</v>
      </c>
      <c r="V60" s="145">
        <f t="shared" ca="1" si="16"/>
        <v>88.19082371573937</v>
      </c>
      <c r="W60" s="145">
        <f t="shared" ca="1" si="16"/>
        <v>9.665870388469548</v>
      </c>
      <c r="X60" s="145">
        <f t="shared" ca="1" si="16"/>
        <v>102.65684177002191</v>
      </c>
      <c r="Y60" s="145">
        <f t="shared" ca="1" si="16"/>
        <v>149.4411810973042</v>
      </c>
      <c r="Z60" s="145">
        <f t="shared" ca="1" si="16"/>
        <v>34.338692823841377</v>
      </c>
      <c r="AA60" s="145"/>
      <c r="AB60" s="145">
        <f t="shared" ca="1" si="14"/>
        <v>610.09259999999995</v>
      </c>
    </row>
    <row r="61" spans="1:28">
      <c r="A61" s="116">
        <v>2024</v>
      </c>
      <c r="B61" t="s">
        <v>331</v>
      </c>
      <c r="C61" s="117" t="s">
        <v>332</v>
      </c>
      <c r="D61">
        <f>Summary!K15</f>
        <v>29413.23</v>
      </c>
      <c r="E61">
        <f t="shared" si="1"/>
        <v>30001.494600000002</v>
      </c>
      <c r="H61" s="116">
        <v>2021</v>
      </c>
      <c r="I61" s="116" t="s">
        <v>348</v>
      </c>
      <c r="J61" s="116" t="s">
        <v>331</v>
      </c>
      <c r="K61" s="118" t="s">
        <v>332</v>
      </c>
      <c r="L61" s="116">
        <v>62.5</v>
      </c>
      <c r="M61" s="119">
        <f t="shared" ca="1" si="15"/>
        <v>3975.2123729788432</v>
      </c>
      <c r="N61" s="119">
        <v>0</v>
      </c>
      <c r="O61" s="119">
        <v>0</v>
      </c>
      <c r="P61" s="119" t="s">
        <v>327</v>
      </c>
      <c r="R61" s="147">
        <f t="shared" si="12"/>
        <v>2023</v>
      </c>
      <c r="S61" s="145">
        <f t="shared" ca="1" si="16"/>
        <v>804.30421922233859</v>
      </c>
      <c r="T61" s="145">
        <f t="shared" ca="1" si="16"/>
        <v>743.06955780278463</v>
      </c>
      <c r="U61" s="145">
        <f t="shared" ca="1" si="16"/>
        <v>68.362825512433446</v>
      </c>
      <c r="V61" s="145">
        <f t="shared" ca="1" si="16"/>
        <v>631.06135038096147</v>
      </c>
      <c r="W61" s="145">
        <f t="shared" ca="1" si="16"/>
        <v>69.16544106239391</v>
      </c>
      <c r="X61" s="145">
        <f t="shared" ca="1" si="16"/>
        <v>734.57489638656114</v>
      </c>
      <c r="Y61" s="145">
        <f t="shared" ca="1" si="16"/>
        <v>1069.3465552579905</v>
      </c>
      <c r="Z61" s="145">
        <f t="shared" ca="1" si="16"/>
        <v>245.71515437453579</v>
      </c>
      <c r="AA61" s="145"/>
      <c r="AB61" s="145">
        <f t="shared" ca="1" si="14"/>
        <v>4365.5999999999995</v>
      </c>
    </row>
    <row r="62" spans="1:28">
      <c r="A62" s="116">
        <v>2024</v>
      </c>
      <c r="B62" t="s">
        <v>331</v>
      </c>
      <c r="C62" s="117" t="s">
        <v>333</v>
      </c>
      <c r="D62">
        <f>Summary!K16</f>
        <v>11583.464760000001</v>
      </c>
      <c r="E62">
        <f t="shared" si="1"/>
        <v>11815.1340552</v>
      </c>
      <c r="H62" s="116">
        <v>2021</v>
      </c>
      <c r="I62" s="116" t="s">
        <v>348</v>
      </c>
      <c r="J62" s="116" t="s">
        <v>331</v>
      </c>
      <c r="K62" s="118" t="s">
        <v>333</v>
      </c>
      <c r="L62" s="116">
        <v>1</v>
      </c>
      <c r="M62" s="119">
        <f t="shared" ca="1" si="15"/>
        <v>1565.5109090676681</v>
      </c>
      <c r="N62" s="119">
        <v>0</v>
      </c>
      <c r="O62" s="119">
        <v>0</v>
      </c>
      <c r="P62" s="119" t="s">
        <v>327</v>
      </c>
      <c r="R62" s="147">
        <f t="shared" si="12"/>
        <v>2023</v>
      </c>
      <c r="S62" s="145">
        <f t="shared" ca="1" si="16"/>
        <v>120.64563288335079</v>
      </c>
      <c r="T62" s="145">
        <f t="shared" ca="1" si="16"/>
        <v>111.46043367041769</v>
      </c>
      <c r="U62" s="145">
        <f t="shared" ca="1" si="16"/>
        <v>10.254423826865017</v>
      </c>
      <c r="V62" s="145">
        <f t="shared" ca="1" si="16"/>
        <v>94.659202557144212</v>
      </c>
      <c r="W62" s="145">
        <f t="shared" ca="1" si="16"/>
        <v>10.374816159359085</v>
      </c>
      <c r="X62" s="145">
        <f t="shared" ca="1" si="16"/>
        <v>110.18623445798417</v>
      </c>
      <c r="Y62" s="145">
        <f t="shared" ca="1" si="16"/>
        <v>160.40198328869857</v>
      </c>
      <c r="Z62" s="145">
        <f t="shared" ca="1" si="16"/>
        <v>36.857273156180369</v>
      </c>
      <c r="AA62" s="145"/>
      <c r="AB62" s="145">
        <f t="shared" ca="1" si="14"/>
        <v>654.8399999999998</v>
      </c>
    </row>
    <row r="63" spans="1:28">
      <c r="A63" s="116">
        <v>2024</v>
      </c>
      <c r="B63" t="s">
        <v>331</v>
      </c>
      <c r="C63" s="117" t="s">
        <v>334</v>
      </c>
      <c r="D63">
        <f>Summary!K17</f>
        <v>3743.502</v>
      </c>
      <c r="E63">
        <f t="shared" si="1"/>
        <v>3818.3720400000002</v>
      </c>
      <c r="H63" s="116">
        <v>2021</v>
      </c>
      <c r="I63" s="116" t="s">
        <v>348</v>
      </c>
      <c r="J63" s="116" t="s">
        <v>331</v>
      </c>
      <c r="K63" s="118" t="s">
        <v>334</v>
      </c>
      <c r="L63" s="116">
        <v>1</v>
      </c>
      <c r="M63" s="119">
        <f t="shared" ca="1" si="15"/>
        <v>505.93612019730733</v>
      </c>
      <c r="N63" s="119">
        <v>0</v>
      </c>
      <c r="O63" s="119">
        <v>0</v>
      </c>
      <c r="P63" s="119" t="s">
        <v>327</v>
      </c>
      <c r="R63" s="147">
        <f t="shared" si="12"/>
        <v>2023</v>
      </c>
      <c r="S63" s="145">
        <f t="shared" ca="1" si="16"/>
        <v>3789.8814809756595</v>
      </c>
      <c r="T63" s="145">
        <f t="shared" ca="1" si="16"/>
        <v>3501.3437563667212</v>
      </c>
      <c r="U63" s="145">
        <f t="shared" ca="1" si="16"/>
        <v>322.12563381458637</v>
      </c>
      <c r="V63" s="145">
        <f t="shared" ca="1" si="16"/>
        <v>2973.5610829950901</v>
      </c>
      <c r="W63" s="145">
        <f t="shared" ca="1" si="16"/>
        <v>325.9075582860001</v>
      </c>
      <c r="X63" s="145">
        <f t="shared" ca="1" si="16"/>
        <v>3461.316911773476</v>
      </c>
      <c r="Y63" s="145">
        <f t="shared" ca="1" si="16"/>
        <v>5038.7609683756518</v>
      </c>
      <c r="Z63" s="145">
        <f t="shared" ca="1" si="16"/>
        <v>1157.8098074128127</v>
      </c>
      <c r="AA63" s="145"/>
      <c r="AB63" s="145">
        <f t="shared" ca="1" si="14"/>
        <v>20570.707200000001</v>
      </c>
    </row>
    <row r="64" spans="1:28">
      <c r="A64" s="116">
        <v>2024</v>
      </c>
      <c r="B64" t="s">
        <v>331</v>
      </c>
      <c r="C64" s="117" t="s">
        <v>335</v>
      </c>
      <c r="D64">
        <f>Summary!K18</f>
        <v>2673.93</v>
      </c>
      <c r="E64">
        <f>D64*1.02</f>
        <v>2727.4085999999998</v>
      </c>
      <c r="H64" s="116">
        <v>2021</v>
      </c>
      <c r="I64" s="116" t="s">
        <v>348</v>
      </c>
      <c r="J64" s="116" t="s">
        <v>331</v>
      </c>
      <c r="K64" s="118" t="s">
        <v>335</v>
      </c>
      <c r="L64" s="116">
        <v>2</v>
      </c>
      <c r="M64" s="119">
        <f t="shared" ca="1" si="15"/>
        <v>361.38294299807666</v>
      </c>
      <c r="N64" s="119">
        <v>0</v>
      </c>
      <c r="O64" s="119">
        <v>0</v>
      </c>
      <c r="P64" s="119" t="s">
        <v>327</v>
      </c>
      <c r="R64" s="147">
        <f t="shared" si="12"/>
        <v>2023</v>
      </c>
      <c r="S64" s="145">
        <f t="shared" ca="1" si="16"/>
        <v>15753.906741907947</v>
      </c>
      <c r="T64" s="145">
        <f t="shared" ca="1" si="16"/>
        <v>14554.503428683143</v>
      </c>
      <c r="U64" s="145">
        <f t="shared" ca="1" si="16"/>
        <v>1339.022663312034</v>
      </c>
      <c r="V64" s="145">
        <f t="shared" ca="1" si="16"/>
        <v>12360.598669911891</v>
      </c>
      <c r="W64" s="145">
        <f t="shared" ca="1" si="16"/>
        <v>1354.7434940891094</v>
      </c>
      <c r="X64" s="145">
        <f t="shared" ca="1" si="16"/>
        <v>14388.118495523573</v>
      </c>
      <c r="Y64" s="145">
        <f t="shared" ca="1" si="16"/>
        <v>20945.29097783826</v>
      </c>
      <c r="Z64" s="145">
        <f t="shared" ca="1" si="16"/>
        <v>4812.8227287340324</v>
      </c>
      <c r="AA64" s="145"/>
      <c r="AB64" s="145">
        <f t="shared" ca="1" si="14"/>
        <v>85509.007199999993</v>
      </c>
    </row>
    <row r="65" spans="1:28">
      <c r="A65" s="116">
        <v>2024</v>
      </c>
      <c r="B65" t="s">
        <v>331</v>
      </c>
      <c r="C65" s="117" t="s">
        <v>336</v>
      </c>
      <c r="D65">
        <f>Summary!K19</f>
        <v>46453.651104000004</v>
      </c>
      <c r="E65">
        <f t="shared" si="1"/>
        <v>47382.724126080007</v>
      </c>
      <c r="H65" s="116">
        <v>2021</v>
      </c>
      <c r="I65" s="116" t="s">
        <v>348</v>
      </c>
      <c r="J65" s="116" t="s">
        <v>331</v>
      </c>
      <c r="K65" s="118" t="s">
        <v>336</v>
      </c>
      <c r="L65" s="116">
        <v>2</v>
      </c>
      <c r="M65" s="119">
        <f t="shared" ca="1" si="15"/>
        <v>6278.2335921169861</v>
      </c>
      <c r="N65" s="119">
        <v>0</v>
      </c>
      <c r="O65" s="119">
        <v>0</v>
      </c>
      <c r="P65" s="119" t="s">
        <v>327</v>
      </c>
      <c r="R65" s="147">
        <f t="shared" si="12"/>
        <v>2023</v>
      </c>
      <c r="S65" s="145">
        <f t="shared" ca="1" si="16"/>
        <v>1509.2679503090978</v>
      </c>
      <c r="T65" s="145">
        <f t="shared" ca="1" si="16"/>
        <v>1394.3617870442577</v>
      </c>
      <c r="U65" s="145">
        <f t="shared" ca="1" si="16"/>
        <v>128.28208415747085</v>
      </c>
      <c r="V65" s="145">
        <f t="shared" ca="1" si="16"/>
        <v>1184.1796276160976</v>
      </c>
      <c r="W65" s="145">
        <f t="shared" ca="1" si="16"/>
        <v>129.78818333863177</v>
      </c>
      <c r="X65" s="145">
        <f t="shared" ca="1" si="16"/>
        <v>1378.4216490742872</v>
      </c>
      <c r="Y65" s="145">
        <f t="shared" ca="1" si="16"/>
        <v>2006.6169554410524</v>
      </c>
      <c r="Z65" s="145">
        <f t="shared" ca="1" si="16"/>
        <v>461.08176301910322</v>
      </c>
      <c r="AA65" s="145"/>
      <c r="AB65" s="145">
        <f t="shared" ca="1" si="14"/>
        <v>8191.9999999999982</v>
      </c>
    </row>
    <row r="66" spans="1:28">
      <c r="A66" s="116">
        <v>2024</v>
      </c>
      <c r="B66" t="s">
        <v>331</v>
      </c>
      <c r="C66" s="117" t="s">
        <v>337</v>
      </c>
      <c r="D66">
        <f>Summary!K20</f>
        <v>597.89074800000003</v>
      </c>
      <c r="E66">
        <f t="shared" si="1"/>
        <v>609.84856296000009</v>
      </c>
      <c r="H66" s="116">
        <v>2021</v>
      </c>
      <c r="I66" s="116" t="s">
        <v>348</v>
      </c>
      <c r="J66" s="116" t="s">
        <v>331</v>
      </c>
      <c r="K66" s="118" t="s">
        <v>337</v>
      </c>
      <c r="L66" s="116">
        <v>1</v>
      </c>
      <c r="M66" s="119">
        <f t="shared" ca="1" si="15"/>
        <v>80.805226054369939</v>
      </c>
      <c r="N66" s="119">
        <v>0</v>
      </c>
      <c r="O66" s="119">
        <v>0</v>
      </c>
      <c r="P66" s="119" t="s">
        <v>327</v>
      </c>
      <c r="R66" s="147">
        <f t="shared" si="12"/>
        <v>2023</v>
      </c>
      <c r="S66" s="145">
        <f t="shared" ref="S66:Z75" ca="1" si="17">S$13/SUM($S$13:$Z$13)*$D54</f>
        <v>339.36420464713848</v>
      </c>
      <c r="T66" s="145">
        <f t="shared" ca="1" si="17"/>
        <v>313.52714987005891</v>
      </c>
      <c r="U66" s="145">
        <f t="shared" ca="1" si="17"/>
        <v>28.844677614509436</v>
      </c>
      <c r="V66" s="145">
        <f t="shared" ca="1" si="17"/>
        <v>266.26695240098286</v>
      </c>
      <c r="W66" s="145">
        <f t="shared" ca="1" si="17"/>
        <v>29.183329310273404</v>
      </c>
      <c r="X66" s="145">
        <f t="shared" ca="1" si="17"/>
        <v>309.94295380796348</v>
      </c>
      <c r="Y66" s="145">
        <f t="shared" ca="1" si="17"/>
        <v>451.19487694365461</v>
      </c>
      <c r="Z66" s="145">
        <f t="shared" ca="1" si="17"/>
        <v>103.67585540541847</v>
      </c>
      <c r="AA66" s="145"/>
      <c r="AB66" s="145">
        <f t="shared" ca="1" si="14"/>
        <v>1841.9999999999995</v>
      </c>
    </row>
    <row r="67" spans="1:28">
      <c r="A67" s="116">
        <v>2024</v>
      </c>
      <c r="B67" t="s">
        <v>331</v>
      </c>
      <c r="C67" s="117" t="s">
        <v>338</v>
      </c>
      <c r="D67">
        <f>Summary!K21</f>
        <v>4278.2880000000005</v>
      </c>
      <c r="E67">
        <f t="shared" ref="E67:E86" si="18">D67*1.02</f>
        <v>4363.8537600000009</v>
      </c>
      <c r="H67" s="116">
        <v>2021</v>
      </c>
      <c r="I67" s="116" t="s">
        <v>348</v>
      </c>
      <c r="J67" s="116" t="s">
        <v>331</v>
      </c>
      <c r="K67" s="118" t="s">
        <v>338</v>
      </c>
      <c r="L67" s="116">
        <v>4</v>
      </c>
      <c r="M67" s="119">
        <f t="shared" ca="1" si="15"/>
        <v>578.2127087969227</v>
      </c>
      <c r="N67" s="119">
        <v>0</v>
      </c>
      <c r="O67" s="119">
        <v>0</v>
      </c>
      <c r="P67" s="119" t="s">
        <v>327</v>
      </c>
      <c r="R67" s="147">
        <f t="shared" si="12"/>
        <v>2023</v>
      </c>
      <c r="S67" s="145">
        <f t="shared" ca="1" si="17"/>
        <v>8124.8433360145527</v>
      </c>
      <c r="T67" s="145">
        <f t="shared" ca="1" si="17"/>
        <v>7506.2688975404981</v>
      </c>
      <c r="U67" s="145">
        <f t="shared" ca="1" si="17"/>
        <v>690.58104386529112</v>
      </c>
      <c r="V67" s="145">
        <f t="shared" ca="1" si="17"/>
        <v>6374.7951144860726</v>
      </c>
      <c r="W67" s="145">
        <f t="shared" ca="1" si="17"/>
        <v>698.68882876387465</v>
      </c>
      <c r="X67" s="145">
        <f t="shared" ca="1" si="17"/>
        <v>7420.4583403535235</v>
      </c>
      <c r="Y67" s="145">
        <f t="shared" ca="1" si="17"/>
        <v>10802.222623895314</v>
      </c>
      <c r="Z67" s="145">
        <f t="shared" ca="1" si="17"/>
        <v>2482.1418150808659</v>
      </c>
      <c r="AA67" s="145"/>
      <c r="AB67" s="145">
        <f t="shared" ca="1" si="14"/>
        <v>44100</v>
      </c>
    </row>
    <row r="68" spans="1:28">
      <c r="A68" s="116">
        <v>2024</v>
      </c>
      <c r="B68" t="s">
        <v>331</v>
      </c>
      <c r="C68" s="117" t="s">
        <v>341</v>
      </c>
      <c r="D68">
        <f>Summary!K22</f>
        <v>641.7432</v>
      </c>
      <c r="E68">
        <f t="shared" si="18"/>
        <v>654.57806400000004</v>
      </c>
      <c r="H68" s="116">
        <v>2021</v>
      </c>
      <c r="I68" s="116" t="s">
        <v>348</v>
      </c>
      <c r="J68" s="116" t="s">
        <v>331</v>
      </c>
      <c r="K68" s="118" t="s">
        <v>341</v>
      </c>
      <c r="L68" s="116">
        <v>5</v>
      </c>
      <c r="M68" s="119">
        <f t="shared" ca="1" si="15"/>
        <v>86.731906319538396</v>
      </c>
      <c r="N68" s="119">
        <v>0</v>
      </c>
      <c r="O68" s="119">
        <v>0</v>
      </c>
      <c r="P68" s="119" t="s">
        <v>327</v>
      </c>
      <c r="R68" s="147">
        <f t="shared" si="12"/>
        <v>2024</v>
      </c>
      <c r="S68" s="145">
        <f t="shared" ca="1" si="17"/>
        <v>0</v>
      </c>
      <c r="T68" s="145">
        <f t="shared" ca="1" si="17"/>
        <v>0</v>
      </c>
      <c r="U68" s="145">
        <f t="shared" ca="1" si="17"/>
        <v>0</v>
      </c>
      <c r="V68" s="145">
        <f t="shared" ca="1" si="17"/>
        <v>0</v>
      </c>
      <c r="W68" s="145">
        <f t="shared" ca="1" si="17"/>
        <v>0</v>
      </c>
      <c r="X68" s="145">
        <f t="shared" ca="1" si="17"/>
        <v>0</v>
      </c>
      <c r="Y68" s="145">
        <f t="shared" ca="1" si="17"/>
        <v>0</v>
      </c>
      <c r="Z68" s="145">
        <f t="shared" ca="1" si="17"/>
        <v>0</v>
      </c>
      <c r="AA68" s="145"/>
      <c r="AB68" s="145">
        <f t="shared" ca="1" si="14"/>
        <v>0</v>
      </c>
    </row>
    <row r="69" spans="1:28">
      <c r="A69" s="116">
        <v>2024</v>
      </c>
      <c r="B69" t="s">
        <v>331</v>
      </c>
      <c r="C69" s="117" t="s">
        <v>342</v>
      </c>
      <c r="D69">
        <f>Summary!K23</f>
        <v>20159.293055999999</v>
      </c>
      <c r="E69">
        <f t="shared" si="18"/>
        <v>20562.478917119999</v>
      </c>
      <c r="H69" s="116">
        <v>2021</v>
      </c>
      <c r="I69" s="116" t="s">
        <v>348</v>
      </c>
      <c r="J69" s="116" t="s">
        <v>331</v>
      </c>
      <c r="K69" s="118" t="s">
        <v>342</v>
      </c>
      <c r="L69" s="116">
        <v>1</v>
      </c>
      <c r="M69" s="119">
        <f t="shared" ca="1" si="15"/>
        <v>2724.5382838510995</v>
      </c>
      <c r="N69" s="119">
        <v>0</v>
      </c>
      <c r="O69" s="119">
        <v>0</v>
      </c>
      <c r="P69" s="119" t="s">
        <v>327</v>
      </c>
      <c r="R69" s="147">
        <f t="shared" si="12"/>
        <v>2024</v>
      </c>
      <c r="S69" s="145">
        <f t="shared" ca="1" si="17"/>
        <v>7093.9632135410266</v>
      </c>
      <c r="T69" s="145">
        <f t="shared" ca="1" si="17"/>
        <v>6553.8734998205609</v>
      </c>
      <c r="U69" s="145">
        <f t="shared" ca="1" si="17"/>
        <v>602.96012101966301</v>
      </c>
      <c r="V69" s="145">
        <f t="shared" ca="1" si="17"/>
        <v>5565.9611103600801</v>
      </c>
      <c r="W69" s="145">
        <f t="shared" ca="1" si="17"/>
        <v>610.03919017031433</v>
      </c>
      <c r="X69" s="145">
        <f t="shared" ca="1" si="17"/>
        <v>6478.9505861294692</v>
      </c>
      <c r="Y69" s="145">
        <f t="shared" ca="1" si="17"/>
        <v>9431.6366173754777</v>
      </c>
      <c r="Z69" s="145">
        <f t="shared" ca="1" si="17"/>
        <v>2167.2076615834058</v>
      </c>
      <c r="AA69" s="145"/>
      <c r="AB69" s="145">
        <f t="shared" ca="1" si="14"/>
        <v>38504.592000000004</v>
      </c>
    </row>
    <row r="70" spans="1:28">
      <c r="A70" s="116">
        <v>2024</v>
      </c>
      <c r="B70" t="s">
        <v>343</v>
      </c>
      <c r="C70" s="117" t="s">
        <v>289</v>
      </c>
      <c r="D70">
        <f>Summary!K25</f>
        <v>83798.827056000009</v>
      </c>
      <c r="E70">
        <f t="shared" si="18"/>
        <v>85474.803597120015</v>
      </c>
      <c r="H70" s="116">
        <v>2021</v>
      </c>
      <c r="I70" s="116" t="s">
        <v>348</v>
      </c>
      <c r="J70" s="116" t="s">
        <v>343</v>
      </c>
      <c r="K70" s="118" t="s">
        <v>289</v>
      </c>
      <c r="L70" s="116">
        <v>2</v>
      </c>
      <c r="M70" s="119">
        <f t="shared" ca="1" si="15"/>
        <v>11325.452327205325</v>
      </c>
      <c r="N70" s="119">
        <v>0</v>
      </c>
      <c r="O70" s="119">
        <v>0</v>
      </c>
      <c r="P70" s="119" t="s">
        <v>327</v>
      </c>
      <c r="R70" s="147">
        <f t="shared" si="12"/>
        <v>2024</v>
      </c>
      <c r="S70" s="145">
        <f t="shared" ca="1" si="17"/>
        <v>0</v>
      </c>
      <c r="T70" s="145">
        <f t="shared" ca="1" si="17"/>
        <v>0</v>
      </c>
      <c r="U70" s="145">
        <f t="shared" ca="1" si="17"/>
        <v>0</v>
      </c>
      <c r="V70" s="145">
        <f t="shared" ca="1" si="17"/>
        <v>0</v>
      </c>
      <c r="W70" s="145">
        <f t="shared" ca="1" si="17"/>
        <v>0</v>
      </c>
      <c r="X70" s="145">
        <f t="shared" ca="1" si="17"/>
        <v>0</v>
      </c>
      <c r="Y70" s="145">
        <f t="shared" ca="1" si="17"/>
        <v>0</v>
      </c>
      <c r="Z70" s="145">
        <f t="shared" ca="1" si="17"/>
        <v>0</v>
      </c>
      <c r="AA70" s="145"/>
      <c r="AB70" s="145">
        <f t="shared" ca="1" si="14"/>
        <v>0</v>
      </c>
    </row>
    <row r="71" spans="1:28">
      <c r="A71" s="116">
        <v>2024</v>
      </c>
      <c r="B71" t="s">
        <v>344</v>
      </c>
      <c r="C71" s="117" t="s">
        <v>291</v>
      </c>
      <c r="D71">
        <f>Summary!K29+Summary!K30</f>
        <v>8192</v>
      </c>
      <c r="E71">
        <f t="shared" si="18"/>
        <v>8355.84</v>
      </c>
      <c r="H71" s="116">
        <v>2021</v>
      </c>
      <c r="I71" s="116" t="s">
        <v>348</v>
      </c>
      <c r="J71" s="116" t="s">
        <v>344</v>
      </c>
      <c r="K71" s="118" t="s">
        <v>291</v>
      </c>
      <c r="L71" s="116">
        <v>2</v>
      </c>
      <c r="M71" s="119">
        <f t="shared" ca="1" si="15"/>
        <v>1184.1796276160976</v>
      </c>
      <c r="N71" s="119">
        <v>0</v>
      </c>
      <c r="O71" s="119">
        <v>0</v>
      </c>
      <c r="P71" s="119" t="s">
        <v>345</v>
      </c>
      <c r="R71" s="147">
        <f t="shared" si="12"/>
        <v>2024</v>
      </c>
      <c r="S71" s="145">
        <f t="shared" ca="1" si="17"/>
        <v>2680.9269311173794</v>
      </c>
      <c r="T71" s="145">
        <f t="shared" ca="1" si="17"/>
        <v>2476.8180268071865</v>
      </c>
      <c r="U71" s="145">
        <f t="shared" ca="1" si="17"/>
        <v>227.86867906868096</v>
      </c>
      <c r="V71" s="145">
        <f t="shared" ca="1" si="17"/>
        <v>2103.4694696235802</v>
      </c>
      <c r="W71" s="145">
        <f t="shared" ca="1" si="17"/>
        <v>230.54397728519791</v>
      </c>
      <c r="X71" s="145">
        <f t="shared" ca="1" si="17"/>
        <v>2448.5034090080949</v>
      </c>
      <c r="Y71" s="145">
        <f t="shared" ca="1" si="17"/>
        <v>3564.3726716498154</v>
      </c>
      <c r="Z71" s="145">
        <f t="shared" ca="1" si="17"/>
        <v>819.02389544006201</v>
      </c>
      <c r="AA71" s="145"/>
      <c r="AB71" s="145">
        <f t="shared" ca="1" si="14"/>
        <v>14551.527059999997</v>
      </c>
    </row>
    <row r="72" spans="1:28">
      <c r="A72" s="116">
        <v>2024</v>
      </c>
      <c r="B72" t="s">
        <v>344</v>
      </c>
      <c r="C72" s="117" t="s">
        <v>292</v>
      </c>
      <c r="D72">
        <f>Summary!K32+Summary!K33</f>
        <v>1842</v>
      </c>
      <c r="E72">
        <f t="shared" si="18"/>
        <v>1878.8400000000001</v>
      </c>
      <c r="H72" s="116">
        <v>2021</v>
      </c>
      <c r="I72" s="116" t="s">
        <v>348</v>
      </c>
      <c r="J72" s="116" t="s">
        <v>344</v>
      </c>
      <c r="K72" s="118" t="s">
        <v>292</v>
      </c>
      <c r="L72" s="116">
        <v>3</v>
      </c>
      <c r="M72" s="119">
        <f t="shared" ca="1" si="15"/>
        <v>266.26695240098286</v>
      </c>
      <c r="N72" s="119">
        <v>0</v>
      </c>
      <c r="O72" s="119">
        <v>0</v>
      </c>
      <c r="P72" s="119" t="s">
        <v>345</v>
      </c>
      <c r="R72" s="147">
        <f t="shared" si="12"/>
        <v>2024</v>
      </c>
      <c r="S72" s="145">
        <f t="shared" ca="1" si="17"/>
        <v>361634.48026362475</v>
      </c>
      <c r="T72" s="145">
        <f t="shared" ca="1" si="17"/>
        <v>334101.90685751924</v>
      </c>
      <c r="U72" s="145">
        <f t="shared" ca="1" si="17"/>
        <v>30737.567058202374</v>
      </c>
      <c r="V72" s="145">
        <f t="shared" ca="1" si="17"/>
        <v>283740.32860368938</v>
      </c>
      <c r="W72" s="145">
        <f t="shared" ca="1" si="17"/>
        <v>31098.442272237797</v>
      </c>
      <c r="X72" s="145">
        <f t="shared" ca="1" si="17"/>
        <v>330282.50321291114</v>
      </c>
      <c r="Y72" s="145">
        <f t="shared" ca="1" si="17"/>
        <v>480803.87556131871</v>
      </c>
      <c r="Z72" s="145">
        <f t="shared" ca="1" si="17"/>
        <v>110479.43057049628</v>
      </c>
      <c r="AA72" s="145"/>
      <c r="AB72" s="145">
        <f t="shared" ca="1" si="14"/>
        <v>1962878.5343999998</v>
      </c>
    </row>
    <row r="73" spans="1:28">
      <c r="A73" s="116">
        <v>2024</v>
      </c>
      <c r="B73" t="s">
        <v>295</v>
      </c>
      <c r="C73" s="117" t="s">
        <v>295</v>
      </c>
      <c r="D73">
        <f>Summary!K37</f>
        <v>46305</v>
      </c>
      <c r="E73">
        <f t="shared" si="18"/>
        <v>47231.1</v>
      </c>
      <c r="H73" s="116">
        <v>2021</v>
      </c>
      <c r="I73" s="116" t="s">
        <v>348</v>
      </c>
      <c r="J73" s="116" t="s">
        <v>295</v>
      </c>
      <c r="K73" s="118" t="s">
        <v>295</v>
      </c>
      <c r="L73" s="116">
        <v>2</v>
      </c>
      <c r="M73" s="119">
        <f t="shared" ca="1" si="15"/>
        <v>5782.1270879692265</v>
      </c>
      <c r="N73" s="119">
        <v>0</v>
      </c>
      <c r="O73" s="119">
        <v>0</v>
      </c>
      <c r="P73" s="119" t="s">
        <v>327</v>
      </c>
      <c r="R73" s="147">
        <f t="shared" si="12"/>
        <v>2024</v>
      </c>
      <c r="S73" s="145">
        <f t="shared" ca="1" si="17"/>
        <v>5418.9996770105063</v>
      </c>
      <c r="T73" s="145">
        <f t="shared" ca="1" si="17"/>
        <v>5006.4311456962614</v>
      </c>
      <c r="U73" s="145">
        <f t="shared" ca="1" si="17"/>
        <v>460.59453689002027</v>
      </c>
      <c r="V73" s="145">
        <f t="shared" ca="1" si="17"/>
        <v>4251.7758481917272</v>
      </c>
      <c r="W73" s="145">
        <f t="shared" ca="1" si="17"/>
        <v>466.00215915787891</v>
      </c>
      <c r="X73" s="145">
        <f t="shared" ca="1" si="17"/>
        <v>4949.1983644044549</v>
      </c>
      <c r="Y73" s="145">
        <f t="shared" ca="1" si="17"/>
        <v>7204.7224160507112</v>
      </c>
      <c r="Z73" s="145">
        <f t="shared" ca="1" si="17"/>
        <v>1655.5058525984348</v>
      </c>
      <c r="AA73" s="145"/>
      <c r="AB73" s="145">
        <f t="shared" ca="1" si="14"/>
        <v>29413.229999999992</v>
      </c>
    </row>
    <row r="74" spans="1:28">
      <c r="A74" s="116">
        <v>2025</v>
      </c>
      <c r="B74" t="s">
        <v>30</v>
      </c>
      <c r="C74" s="117" t="s">
        <v>31</v>
      </c>
      <c r="D74">
        <f>Summary!L8</f>
        <v>0</v>
      </c>
      <c r="E74">
        <f t="shared" si="18"/>
        <v>0</v>
      </c>
      <c r="H74" s="116">
        <v>2021</v>
      </c>
      <c r="I74" s="116" t="s">
        <v>349</v>
      </c>
      <c r="J74" s="116" t="s">
        <v>30</v>
      </c>
      <c r="K74" s="118" t="s">
        <v>31</v>
      </c>
      <c r="L74" s="116">
        <v>255</v>
      </c>
      <c r="M74" s="119">
        <f t="shared" ref="M74:M91" ca="1" si="19">W14</f>
        <v>0</v>
      </c>
      <c r="N74" s="119">
        <v>0</v>
      </c>
      <c r="O74" s="119">
        <v>0</v>
      </c>
      <c r="P74" s="119" t="s">
        <v>327</v>
      </c>
      <c r="R74" s="147">
        <f t="shared" si="12"/>
        <v>2024</v>
      </c>
      <c r="S74" s="145">
        <f t="shared" ca="1" si="17"/>
        <v>2134.100600073592</v>
      </c>
      <c r="T74" s="145">
        <f t="shared" ca="1" si="17"/>
        <v>1971.6236111960186</v>
      </c>
      <c r="U74" s="145">
        <f t="shared" ca="1" si="17"/>
        <v>181.39050307341529</v>
      </c>
      <c r="V74" s="145">
        <f t="shared" ca="1" si="17"/>
        <v>1674.426634033324</v>
      </c>
      <c r="W74" s="145">
        <f t="shared" ca="1" si="17"/>
        <v>183.52012304290287</v>
      </c>
      <c r="X74" s="145">
        <f t="shared" ca="1" si="17"/>
        <v>1949.084301327282</v>
      </c>
      <c r="Y74" s="145">
        <f t="shared" ca="1" si="17"/>
        <v>2837.3506823937892</v>
      </c>
      <c r="Z74" s="145">
        <f t="shared" ca="1" si="17"/>
        <v>651.9683048596745</v>
      </c>
      <c r="AA74" s="145"/>
      <c r="AB74" s="145">
        <f t="shared" ca="1" si="14"/>
        <v>11583.464759999999</v>
      </c>
    </row>
    <row r="75" spans="1:28">
      <c r="A75" s="116">
        <v>2025</v>
      </c>
      <c r="B75" t="s">
        <v>30</v>
      </c>
      <c r="C75" s="117" t="s">
        <v>328</v>
      </c>
      <c r="D75">
        <f>Summary!L9</f>
        <v>40429.821600000003</v>
      </c>
      <c r="E75">
        <f t="shared" si="18"/>
        <v>41238.418032000001</v>
      </c>
      <c r="H75" s="116">
        <v>2021</v>
      </c>
      <c r="I75" s="116" t="s">
        <v>349</v>
      </c>
      <c r="J75" s="116" t="s">
        <v>30</v>
      </c>
      <c r="K75" s="118" t="s">
        <v>328</v>
      </c>
      <c r="L75" s="116">
        <v>165</v>
      </c>
      <c r="M75" s="119">
        <f t="shared" ca="1" si="19"/>
        <v>570.35822756234666</v>
      </c>
      <c r="N75" s="119">
        <v>0</v>
      </c>
      <c r="O75" s="119">
        <v>0</v>
      </c>
      <c r="P75" s="119" t="s">
        <v>327</v>
      </c>
      <c r="R75" s="147">
        <f t="shared" si="12"/>
        <v>2024</v>
      </c>
      <c r="S75" s="145">
        <f t="shared" ca="1" si="17"/>
        <v>689.69086798315527</v>
      </c>
      <c r="T75" s="145">
        <f t="shared" ca="1" si="17"/>
        <v>637.18214581588779</v>
      </c>
      <c r="U75" s="145">
        <f t="shared" ca="1" si="17"/>
        <v>58.62112287691167</v>
      </c>
      <c r="V75" s="145">
        <f t="shared" ca="1" si="17"/>
        <v>541.1351079516744</v>
      </c>
      <c r="W75" s="145">
        <f t="shared" ca="1" si="17"/>
        <v>59.309365711002769</v>
      </c>
      <c r="X75" s="145">
        <f t="shared" ca="1" si="17"/>
        <v>629.89797365147615</v>
      </c>
      <c r="Y75" s="145">
        <f t="shared" ca="1" si="17"/>
        <v>916.96467113372682</v>
      </c>
      <c r="Z75" s="145">
        <f t="shared" ca="1" si="17"/>
        <v>210.70074487616441</v>
      </c>
      <c r="AA75" s="145"/>
      <c r="AB75" s="145">
        <f t="shared" ca="1" si="14"/>
        <v>3743.501999999999</v>
      </c>
    </row>
    <row r="76" spans="1:28">
      <c r="A76" s="116">
        <v>2025</v>
      </c>
      <c r="B76" t="s">
        <v>30</v>
      </c>
      <c r="C76" s="117" t="s">
        <v>329</v>
      </c>
      <c r="D76">
        <f>Summary!L10</f>
        <v>0</v>
      </c>
      <c r="E76">
        <f t="shared" si="18"/>
        <v>0</v>
      </c>
      <c r="H76" s="116">
        <v>2021</v>
      </c>
      <c r="I76" s="116" t="s">
        <v>349</v>
      </c>
      <c r="J76" s="116" t="s">
        <v>30</v>
      </c>
      <c r="K76" s="118" t="s">
        <v>329</v>
      </c>
      <c r="L76" s="116">
        <v>75</v>
      </c>
      <c r="M76" s="119">
        <f t="shared" ca="1" si="19"/>
        <v>0</v>
      </c>
      <c r="N76" s="119">
        <v>0</v>
      </c>
      <c r="O76" s="119">
        <v>0</v>
      </c>
      <c r="P76" s="119" t="s">
        <v>327</v>
      </c>
      <c r="R76" s="147">
        <f t="shared" si="12"/>
        <v>2024</v>
      </c>
      <c r="S76" s="145">
        <f t="shared" ref="S76:Z85" ca="1" si="20">S$13/SUM($S$13:$Z$13)*$D64</f>
        <v>492.63633427368234</v>
      </c>
      <c r="T76" s="145">
        <f t="shared" ca="1" si="20"/>
        <v>455.13010415420553</v>
      </c>
      <c r="U76" s="145">
        <f t="shared" ca="1" si="20"/>
        <v>41.872230626365479</v>
      </c>
      <c r="V76" s="145">
        <f t="shared" ca="1" si="20"/>
        <v>386.52507710833885</v>
      </c>
      <c r="W76" s="145">
        <f t="shared" ca="1" si="20"/>
        <v>42.363832650716262</v>
      </c>
      <c r="X76" s="145">
        <f t="shared" ca="1" si="20"/>
        <v>449.92712403676865</v>
      </c>
      <c r="Y76" s="145">
        <f t="shared" ca="1" si="20"/>
        <v>654.97476509551916</v>
      </c>
      <c r="Z76" s="145">
        <f t="shared" ca="1" si="20"/>
        <v>150.50053205440315</v>
      </c>
      <c r="AA76" s="145"/>
      <c r="AB76" s="145">
        <f t="shared" ca="1" si="14"/>
        <v>2673.9299999999994</v>
      </c>
    </row>
    <row r="77" spans="1:28">
      <c r="A77" s="116">
        <v>2025</v>
      </c>
      <c r="B77" t="s">
        <v>30</v>
      </c>
      <c r="C77" s="117" t="s">
        <v>330</v>
      </c>
      <c r="D77">
        <f>Summary!L11</f>
        <v>15279.103413000001</v>
      </c>
      <c r="E77">
        <f t="shared" si="18"/>
        <v>15584.685481260001</v>
      </c>
      <c r="H77" s="116">
        <v>2021</v>
      </c>
      <c r="I77" s="116" t="s">
        <v>349</v>
      </c>
      <c r="J77" s="116" t="s">
        <v>30</v>
      </c>
      <c r="K77" s="118" t="s">
        <v>330</v>
      </c>
      <c r="L77" s="116">
        <v>15</v>
      </c>
      <c r="M77" s="119">
        <f t="shared" ca="1" si="19"/>
        <v>215.54788016627018</v>
      </c>
      <c r="N77" s="119">
        <v>0</v>
      </c>
      <c r="O77" s="119">
        <v>0</v>
      </c>
      <c r="P77" s="119" t="s">
        <v>327</v>
      </c>
      <c r="R77" s="147">
        <f t="shared" si="12"/>
        <v>2024</v>
      </c>
      <c r="S77" s="145">
        <f t="shared" ca="1" si="20"/>
        <v>8558.4725080698299</v>
      </c>
      <c r="T77" s="145">
        <f t="shared" ca="1" si="20"/>
        <v>7906.8842734501832</v>
      </c>
      <c r="U77" s="145">
        <f t="shared" ca="1" si="20"/>
        <v>727.4378882257223</v>
      </c>
      <c r="V77" s="145">
        <f t="shared" ca="1" si="20"/>
        <v>6715.0228595877497</v>
      </c>
      <c r="W77" s="145">
        <f t="shared" ca="1" si="20"/>
        <v>735.97839187436364</v>
      </c>
      <c r="X77" s="145">
        <f t="shared" ca="1" si="20"/>
        <v>7816.4939404659754</v>
      </c>
      <c r="Y77" s="145">
        <f t="shared" ca="1" si="20"/>
        <v>11378.745599051437</v>
      </c>
      <c r="Z77" s="145">
        <f t="shared" ca="1" si="20"/>
        <v>2614.6156432747352</v>
      </c>
      <c r="AA77" s="145"/>
      <c r="AB77" s="145">
        <f t="shared" ca="1" si="14"/>
        <v>46453.651103999997</v>
      </c>
    </row>
    <row r="78" spans="1:28">
      <c r="A78" s="116">
        <v>2025</v>
      </c>
      <c r="B78" t="s">
        <v>278</v>
      </c>
      <c r="C78" s="117" t="s">
        <v>278</v>
      </c>
      <c r="D78">
        <f>Summary!L14</f>
        <v>2061022.4611200001</v>
      </c>
      <c r="E78">
        <f t="shared" si="18"/>
        <v>2102242.9103424</v>
      </c>
      <c r="H78" s="116">
        <v>2021</v>
      </c>
      <c r="I78" s="116" t="s">
        <v>349</v>
      </c>
      <c r="J78" s="116" t="s">
        <v>278</v>
      </c>
      <c r="K78" s="118" t="s">
        <v>278</v>
      </c>
      <c r="L78" s="116">
        <v>50</v>
      </c>
      <c r="M78" s="119">
        <f t="shared" ca="1" si="19"/>
        <v>29075.594978400517</v>
      </c>
      <c r="N78" s="119">
        <f ca="1">W108</f>
        <v>284066.90394540242</v>
      </c>
      <c r="O78" s="119">
        <f ca="1">W116</f>
        <v>22462.043110004055</v>
      </c>
      <c r="P78" s="119" t="s">
        <v>327</v>
      </c>
      <c r="R78" s="147">
        <f t="shared" ref="R78:R103" si="21">A66</f>
        <v>2024</v>
      </c>
      <c r="S78" s="145">
        <f t="shared" ca="1" si="20"/>
        <v>110.15348434359538</v>
      </c>
      <c r="T78" s="145">
        <f t="shared" ca="1" si="20"/>
        <v>101.76709128888037</v>
      </c>
      <c r="U78" s="145">
        <f t="shared" ca="1" si="20"/>
        <v>9.3626307680553218</v>
      </c>
      <c r="V78" s="145">
        <f t="shared" ca="1" si="20"/>
        <v>86.427007241424576</v>
      </c>
      <c r="W78" s="145">
        <f t="shared" ca="1" si="20"/>
        <v>9.4725529807001578</v>
      </c>
      <c r="X78" s="145">
        <f t="shared" ca="1" si="20"/>
        <v>100.60370493462148</v>
      </c>
      <c r="Y78" s="145">
        <f t="shared" ca="1" si="20"/>
        <v>146.4523574753581</v>
      </c>
      <c r="Z78" s="145">
        <f t="shared" ca="1" si="20"/>
        <v>33.651918967364551</v>
      </c>
      <c r="AA78" s="145"/>
      <c r="AB78" s="145">
        <f t="shared" ref="AB78:AB103" ca="1" si="22">SUM(S78:Z78)</f>
        <v>597.8907479999998</v>
      </c>
    </row>
    <row r="79" spans="1:28">
      <c r="A79" s="116">
        <v>2025</v>
      </c>
      <c r="B79" t="s">
        <v>331</v>
      </c>
      <c r="C79" s="117" t="s">
        <v>332</v>
      </c>
      <c r="D79">
        <f>Summary!L15</f>
        <v>30883.891500000002</v>
      </c>
      <c r="E79">
        <f t="shared" si="18"/>
        <v>31501.569330000002</v>
      </c>
      <c r="H79" s="116">
        <v>2021</v>
      </c>
      <c r="I79" s="116" t="s">
        <v>349</v>
      </c>
      <c r="J79" s="116" t="s">
        <v>331</v>
      </c>
      <c r="K79" s="118" t="s">
        <v>332</v>
      </c>
      <c r="L79" s="116">
        <v>62.5</v>
      </c>
      <c r="M79" s="119">
        <f t="shared" ca="1" si="19"/>
        <v>435.69031272123704</v>
      </c>
      <c r="N79" s="119">
        <v>0</v>
      </c>
      <c r="O79" s="119">
        <v>0</v>
      </c>
      <c r="P79" s="119" t="s">
        <v>327</v>
      </c>
      <c r="R79" s="147">
        <f t="shared" si="21"/>
        <v>2024</v>
      </c>
      <c r="S79" s="145">
        <f t="shared" ca="1" si="20"/>
        <v>788.21813483789185</v>
      </c>
      <c r="T79" s="145">
        <f t="shared" ca="1" si="20"/>
        <v>728.20816664672896</v>
      </c>
      <c r="U79" s="145">
        <f t="shared" ca="1" si="20"/>
        <v>66.99556900218478</v>
      </c>
      <c r="V79" s="145">
        <f t="shared" ca="1" si="20"/>
        <v>618.4401233733422</v>
      </c>
      <c r="W79" s="145">
        <f t="shared" ca="1" si="20"/>
        <v>67.78213224114603</v>
      </c>
      <c r="X79" s="145">
        <f t="shared" ca="1" si="20"/>
        <v>719.8833984588299</v>
      </c>
      <c r="Y79" s="145">
        <f t="shared" ca="1" si="20"/>
        <v>1047.9596241528309</v>
      </c>
      <c r="Z79" s="145">
        <f t="shared" ca="1" si="20"/>
        <v>240.80085128704508</v>
      </c>
      <c r="AA79" s="145"/>
      <c r="AB79" s="145">
        <f t="shared" ca="1" si="22"/>
        <v>4278.2879999999996</v>
      </c>
    </row>
    <row r="80" spans="1:28">
      <c r="A80" s="116">
        <v>2025</v>
      </c>
      <c r="B80" t="s">
        <v>331</v>
      </c>
      <c r="C80" s="117" t="s">
        <v>333</v>
      </c>
      <c r="D80">
        <f>Summary!L16</f>
        <v>12162.637998000002</v>
      </c>
      <c r="E80">
        <f t="shared" si="18"/>
        <v>12405.890757960002</v>
      </c>
      <c r="H80" s="116">
        <v>2021</v>
      </c>
      <c r="I80" s="116" t="s">
        <v>349</v>
      </c>
      <c r="J80" s="116" t="s">
        <v>331</v>
      </c>
      <c r="K80" s="118" t="s">
        <v>333</v>
      </c>
      <c r="L80" s="116">
        <v>1</v>
      </c>
      <c r="M80" s="119">
        <f t="shared" ca="1" si="19"/>
        <v>171.58276679167261</v>
      </c>
      <c r="N80" s="119">
        <v>0</v>
      </c>
      <c r="O80" s="119">
        <v>0</v>
      </c>
      <c r="P80" s="119" t="s">
        <v>327</v>
      </c>
      <c r="R80" s="147">
        <f t="shared" si="21"/>
        <v>2024</v>
      </c>
      <c r="S80" s="145">
        <f t="shared" ca="1" si="20"/>
        <v>118.23272022568376</v>
      </c>
      <c r="T80" s="145">
        <f t="shared" ca="1" si="20"/>
        <v>109.23122499700933</v>
      </c>
      <c r="U80" s="145">
        <f t="shared" ca="1" si="20"/>
        <v>10.049335350327716</v>
      </c>
      <c r="V80" s="145">
        <f t="shared" ca="1" si="20"/>
        <v>92.76601850600133</v>
      </c>
      <c r="W80" s="145">
        <f t="shared" ca="1" si="20"/>
        <v>10.167319836171904</v>
      </c>
      <c r="X80" s="145">
        <f t="shared" ca="1" si="20"/>
        <v>107.98250976882447</v>
      </c>
      <c r="Y80" s="145">
        <f t="shared" ca="1" si="20"/>
        <v>157.19394362292459</v>
      </c>
      <c r="Z80" s="145">
        <f t="shared" ca="1" si="20"/>
        <v>36.120127693056759</v>
      </c>
      <c r="AA80" s="145"/>
      <c r="AB80" s="145">
        <f t="shared" ca="1" si="22"/>
        <v>641.74319999999989</v>
      </c>
    </row>
    <row r="81" spans="1:28">
      <c r="A81" s="116">
        <v>2025</v>
      </c>
      <c r="B81" t="s">
        <v>331</v>
      </c>
      <c r="C81" s="117" t="s">
        <v>334</v>
      </c>
      <c r="D81">
        <f>Summary!L17</f>
        <v>3930.6771000000003</v>
      </c>
      <c r="E81">
        <f t="shared" si="18"/>
        <v>4009.2906420000004</v>
      </c>
      <c r="H81" s="116">
        <v>2021</v>
      </c>
      <c r="I81" s="116" t="s">
        <v>349</v>
      </c>
      <c r="J81" s="116" t="s">
        <v>331</v>
      </c>
      <c r="K81" s="118" t="s">
        <v>334</v>
      </c>
      <c r="L81" s="116">
        <v>1</v>
      </c>
      <c r="M81" s="119">
        <f t="shared" ca="1" si="19"/>
        <v>55.45149434633926</v>
      </c>
      <c r="N81" s="119">
        <v>0</v>
      </c>
      <c r="O81" s="119">
        <v>0</v>
      </c>
      <c r="P81" s="119" t="s">
        <v>327</v>
      </c>
      <c r="R81" s="147">
        <f t="shared" si="21"/>
        <v>2024</v>
      </c>
      <c r="S81" s="145">
        <f t="shared" ca="1" si="20"/>
        <v>3714.0838513561457</v>
      </c>
      <c r="T81" s="145">
        <f t="shared" ca="1" si="20"/>
        <v>3431.316881239386</v>
      </c>
      <c r="U81" s="145">
        <f t="shared" ca="1" si="20"/>
        <v>315.68312113829461</v>
      </c>
      <c r="V81" s="145">
        <f t="shared" ca="1" si="20"/>
        <v>2914.0898613351883</v>
      </c>
      <c r="W81" s="145">
        <f t="shared" ca="1" si="20"/>
        <v>319.38940712028005</v>
      </c>
      <c r="X81" s="145">
        <f t="shared" ca="1" si="20"/>
        <v>3392.0905735380061</v>
      </c>
      <c r="Y81" s="145">
        <f t="shared" ca="1" si="20"/>
        <v>4937.9857490081376</v>
      </c>
      <c r="Z81" s="145">
        <f t="shared" ca="1" si="20"/>
        <v>1134.6536112645563</v>
      </c>
      <c r="AA81" s="145"/>
      <c r="AB81" s="145">
        <f t="shared" ca="1" si="22"/>
        <v>20159.293055999991</v>
      </c>
    </row>
    <row r="82" spans="1:28">
      <c r="A82" s="116">
        <v>2025</v>
      </c>
      <c r="B82" t="s">
        <v>331</v>
      </c>
      <c r="C82" s="117" t="s">
        <v>335</v>
      </c>
      <c r="D82">
        <f>Summary!L18</f>
        <v>2807.6264999999999</v>
      </c>
      <c r="E82">
        <f t="shared" si="18"/>
        <v>2863.7790299999997</v>
      </c>
      <c r="H82" s="116">
        <v>2021</v>
      </c>
      <c r="I82" s="116" t="s">
        <v>349</v>
      </c>
      <c r="J82" s="116" t="s">
        <v>331</v>
      </c>
      <c r="K82" s="118" t="s">
        <v>335</v>
      </c>
      <c r="L82" s="116">
        <v>2</v>
      </c>
      <c r="M82" s="119">
        <f t="shared" ca="1" si="19"/>
        <v>39.60821024738518</v>
      </c>
      <c r="N82" s="119">
        <v>0</v>
      </c>
      <c r="O82" s="119">
        <v>0</v>
      </c>
      <c r="P82" s="119" t="s">
        <v>327</v>
      </c>
      <c r="R82" s="147">
        <f t="shared" si="21"/>
        <v>2024</v>
      </c>
      <c r="S82" s="145">
        <f t="shared" ca="1" si="20"/>
        <v>15438.828607069789</v>
      </c>
      <c r="T82" s="145">
        <f t="shared" ca="1" si="20"/>
        <v>14263.41336010948</v>
      </c>
      <c r="U82" s="145">
        <f t="shared" ca="1" si="20"/>
        <v>1312.2422100457932</v>
      </c>
      <c r="V82" s="145">
        <f t="shared" ca="1" si="20"/>
        <v>12113.386696513655</v>
      </c>
      <c r="W82" s="145">
        <f t="shared" ca="1" si="20"/>
        <v>1327.6486242073274</v>
      </c>
      <c r="X82" s="145">
        <f t="shared" ca="1" si="20"/>
        <v>14100.356125613102</v>
      </c>
      <c r="Y82" s="145">
        <f t="shared" ca="1" si="20"/>
        <v>20526.385158281497</v>
      </c>
      <c r="Z82" s="145">
        <f t="shared" ca="1" si="20"/>
        <v>4716.5662741593524</v>
      </c>
      <c r="AA82" s="145"/>
      <c r="AB82" s="145">
        <f t="shared" ca="1" si="22"/>
        <v>83798.827055999995</v>
      </c>
    </row>
    <row r="83" spans="1:28">
      <c r="A83" s="116">
        <v>2025</v>
      </c>
      <c r="B83" t="s">
        <v>331</v>
      </c>
      <c r="C83" s="117" t="s">
        <v>336</v>
      </c>
      <c r="D83">
        <f>Summary!L19</f>
        <v>48776.333659200005</v>
      </c>
      <c r="E83">
        <f t="shared" si="18"/>
        <v>49751.860332384007</v>
      </c>
      <c r="H83" s="116">
        <v>2021</v>
      </c>
      <c r="I83" s="116" t="s">
        <v>349</v>
      </c>
      <c r="J83" s="116" t="s">
        <v>331</v>
      </c>
      <c r="K83" s="118" t="s">
        <v>336</v>
      </c>
      <c r="L83" s="116">
        <v>2</v>
      </c>
      <c r="M83" s="119">
        <f t="shared" ca="1" si="19"/>
        <v>688.10551498577331</v>
      </c>
      <c r="N83" s="119">
        <v>0</v>
      </c>
      <c r="O83" s="119">
        <v>0</v>
      </c>
      <c r="P83" s="119" t="s">
        <v>327</v>
      </c>
      <c r="R83" s="147">
        <f t="shared" si="21"/>
        <v>2024</v>
      </c>
      <c r="S83" s="145">
        <f t="shared" ca="1" si="20"/>
        <v>1509.2679503090978</v>
      </c>
      <c r="T83" s="145">
        <f t="shared" ca="1" si="20"/>
        <v>1394.3617870442577</v>
      </c>
      <c r="U83" s="145">
        <f t="shared" ca="1" si="20"/>
        <v>128.28208415747085</v>
      </c>
      <c r="V83" s="145">
        <f t="shared" ca="1" si="20"/>
        <v>1184.1796276160976</v>
      </c>
      <c r="W83" s="145">
        <f t="shared" ca="1" si="20"/>
        <v>129.78818333863177</v>
      </c>
      <c r="X83" s="145">
        <f t="shared" ca="1" si="20"/>
        <v>1378.4216490742872</v>
      </c>
      <c r="Y83" s="145">
        <f t="shared" ca="1" si="20"/>
        <v>2006.6169554410524</v>
      </c>
      <c r="Z83" s="145">
        <f t="shared" ca="1" si="20"/>
        <v>461.08176301910322</v>
      </c>
      <c r="AA83" s="145"/>
      <c r="AB83" s="145">
        <f t="shared" ca="1" si="22"/>
        <v>8191.9999999999982</v>
      </c>
    </row>
    <row r="84" spans="1:28">
      <c r="A84" s="116">
        <v>2025</v>
      </c>
      <c r="B84" t="s">
        <v>331</v>
      </c>
      <c r="C84" s="117" t="s">
        <v>337</v>
      </c>
      <c r="D84">
        <f>Summary!L20</f>
        <v>627.78528540000002</v>
      </c>
      <c r="E84">
        <f t="shared" si="18"/>
        <v>640.34099110800003</v>
      </c>
      <c r="H84" s="116">
        <v>2021</v>
      </c>
      <c r="I84" s="116" t="s">
        <v>349</v>
      </c>
      <c r="J84" s="116" t="s">
        <v>331</v>
      </c>
      <c r="K84" s="118" t="s">
        <v>337</v>
      </c>
      <c r="L84" s="116">
        <v>1</v>
      </c>
      <c r="M84" s="119">
        <f t="shared" ca="1" si="19"/>
        <v>8.8563958113153269</v>
      </c>
      <c r="N84" s="119">
        <v>0</v>
      </c>
      <c r="O84" s="119">
        <v>0</v>
      </c>
      <c r="P84" s="119" t="s">
        <v>327</v>
      </c>
      <c r="R84" s="147">
        <f t="shared" si="21"/>
        <v>2024</v>
      </c>
      <c r="S84" s="145">
        <f t="shared" ca="1" si="20"/>
        <v>339.36420464713848</v>
      </c>
      <c r="T84" s="145">
        <f t="shared" ca="1" si="20"/>
        <v>313.52714987005891</v>
      </c>
      <c r="U84" s="145">
        <f t="shared" ca="1" si="20"/>
        <v>28.844677614509436</v>
      </c>
      <c r="V84" s="145">
        <f t="shared" ca="1" si="20"/>
        <v>266.26695240098286</v>
      </c>
      <c r="W84" s="145">
        <f t="shared" ca="1" si="20"/>
        <v>29.183329310273404</v>
      </c>
      <c r="X84" s="145">
        <f t="shared" ca="1" si="20"/>
        <v>309.94295380796348</v>
      </c>
      <c r="Y84" s="145">
        <f t="shared" ca="1" si="20"/>
        <v>451.19487694365461</v>
      </c>
      <c r="Z84" s="145">
        <f t="shared" ca="1" si="20"/>
        <v>103.67585540541847</v>
      </c>
      <c r="AA84" s="145"/>
      <c r="AB84" s="145">
        <f t="shared" ca="1" si="22"/>
        <v>1841.9999999999995</v>
      </c>
    </row>
    <row r="85" spans="1:28">
      <c r="A85" s="116">
        <v>2025</v>
      </c>
      <c r="B85" t="s">
        <v>331</v>
      </c>
      <c r="C85" s="117" t="s">
        <v>338</v>
      </c>
      <c r="D85">
        <f>Summary!L21</f>
        <v>4492.202400000001</v>
      </c>
      <c r="E85">
        <f t="shared" si="18"/>
        <v>4582.046448000001</v>
      </c>
      <c r="H85" s="116">
        <v>2021</v>
      </c>
      <c r="I85" s="116" t="s">
        <v>349</v>
      </c>
      <c r="J85" s="116" t="s">
        <v>331</v>
      </c>
      <c r="K85" s="118" t="s">
        <v>338</v>
      </c>
      <c r="L85" s="116">
        <v>4</v>
      </c>
      <c r="M85" s="119">
        <f t="shared" ca="1" si="19"/>
        <v>63.373136395816296</v>
      </c>
      <c r="N85" s="119">
        <v>0</v>
      </c>
      <c r="O85" s="119">
        <v>0</v>
      </c>
      <c r="P85" s="119" t="s">
        <v>327</v>
      </c>
      <c r="R85" s="147">
        <f t="shared" si="21"/>
        <v>2024</v>
      </c>
      <c r="S85" s="145">
        <f t="shared" ca="1" si="20"/>
        <v>8531.0855028152801</v>
      </c>
      <c r="T85" s="145">
        <f t="shared" ca="1" si="20"/>
        <v>7881.5823424175233</v>
      </c>
      <c r="U85" s="145">
        <f t="shared" ca="1" si="20"/>
        <v>725.11009605855565</v>
      </c>
      <c r="V85" s="145">
        <f t="shared" ca="1" si="20"/>
        <v>6693.5348702103756</v>
      </c>
      <c r="W85" s="145">
        <f t="shared" ca="1" si="20"/>
        <v>733.6232702020684</v>
      </c>
      <c r="X85" s="145">
        <f t="shared" ca="1" si="20"/>
        <v>7791.4812573711997</v>
      </c>
      <c r="Y85" s="145">
        <f t="shared" ca="1" si="20"/>
        <v>11342.33375509008</v>
      </c>
      <c r="Z85" s="145">
        <f t="shared" ca="1" si="20"/>
        <v>2606.2489058349092</v>
      </c>
      <c r="AA85" s="145"/>
      <c r="AB85" s="145">
        <f t="shared" ca="1" si="22"/>
        <v>46304.999999999993</v>
      </c>
    </row>
    <row r="86" spans="1:28">
      <c r="A86" s="116">
        <v>2025</v>
      </c>
      <c r="B86" t="s">
        <v>331</v>
      </c>
      <c r="C86" s="117" t="s">
        <v>341</v>
      </c>
      <c r="D86">
        <f>Summary!L22</f>
        <v>673.83036000000004</v>
      </c>
      <c r="E86">
        <f t="shared" si="18"/>
        <v>687.30696720000003</v>
      </c>
      <c r="H86" s="116">
        <v>2021</v>
      </c>
      <c r="I86" s="116" t="s">
        <v>349</v>
      </c>
      <c r="J86" s="116" t="s">
        <v>331</v>
      </c>
      <c r="K86" s="118" t="s">
        <v>341</v>
      </c>
      <c r="L86" s="116">
        <v>5</v>
      </c>
      <c r="M86" s="119">
        <f t="shared" ca="1" si="19"/>
        <v>9.5059704593724437</v>
      </c>
      <c r="N86" s="119">
        <v>0</v>
      </c>
      <c r="O86" s="119">
        <v>0</v>
      </c>
      <c r="P86" s="119" t="s">
        <v>327</v>
      </c>
      <c r="R86" s="147">
        <f t="shared" si="21"/>
        <v>2025</v>
      </c>
      <c r="S86" s="145">
        <f t="shared" ref="S86:Z95" ca="1" si="23">S$13/SUM($S$13:$Z$13)*$D74</f>
        <v>0</v>
      </c>
      <c r="T86" s="145">
        <f t="shared" ca="1" si="23"/>
        <v>0</v>
      </c>
      <c r="U86" s="145">
        <f t="shared" ca="1" si="23"/>
        <v>0</v>
      </c>
      <c r="V86" s="145">
        <f t="shared" ca="1" si="23"/>
        <v>0</v>
      </c>
      <c r="W86" s="145">
        <f t="shared" ca="1" si="23"/>
        <v>0</v>
      </c>
      <c r="X86" s="145">
        <f t="shared" ca="1" si="23"/>
        <v>0</v>
      </c>
      <c r="Y86" s="145">
        <f t="shared" ca="1" si="23"/>
        <v>0</v>
      </c>
      <c r="Z86" s="145">
        <f t="shared" ca="1" si="23"/>
        <v>0</v>
      </c>
      <c r="AA86" s="145"/>
      <c r="AB86" s="145">
        <f t="shared" ca="1" si="22"/>
        <v>0</v>
      </c>
    </row>
    <row r="87" spans="1:28">
      <c r="A87" s="116">
        <v>2025</v>
      </c>
      <c r="B87" t="s">
        <v>331</v>
      </c>
      <c r="C87" s="117" t="s">
        <v>342</v>
      </c>
      <c r="D87">
        <f>Summary!L23</f>
        <v>21167.2577088</v>
      </c>
      <c r="E87">
        <f>D87*1.02</f>
        <v>21590.602862976</v>
      </c>
      <c r="H87" s="116">
        <v>2021</v>
      </c>
      <c r="I87" s="116" t="s">
        <v>349</v>
      </c>
      <c r="J87" s="116" t="s">
        <v>331</v>
      </c>
      <c r="K87" s="118" t="s">
        <v>342</v>
      </c>
      <c r="L87" s="116">
        <v>1</v>
      </c>
      <c r="M87" s="119">
        <f t="shared" ca="1" si="19"/>
        <v>298.61421869708636</v>
      </c>
      <c r="N87" s="119">
        <v>0</v>
      </c>
      <c r="O87" s="119">
        <v>0</v>
      </c>
      <c r="P87" s="119" t="s">
        <v>327</v>
      </c>
      <c r="R87" s="147">
        <f t="shared" si="21"/>
        <v>2025</v>
      </c>
      <c r="S87" s="145">
        <f t="shared" ca="1" si="23"/>
        <v>7448.661374218078</v>
      </c>
      <c r="T87" s="145">
        <f t="shared" ca="1" si="23"/>
        <v>6881.5671748115883</v>
      </c>
      <c r="U87" s="145">
        <f t="shared" ca="1" si="23"/>
        <v>633.10812707064611</v>
      </c>
      <c r="V87" s="145">
        <f t="shared" ca="1" si="23"/>
        <v>5844.2591658780839</v>
      </c>
      <c r="W87" s="145">
        <f t="shared" ca="1" si="23"/>
        <v>640.54114967882992</v>
      </c>
      <c r="X87" s="145">
        <f t="shared" ca="1" si="23"/>
        <v>6802.8981154359426</v>
      </c>
      <c r="Y87" s="145">
        <f t="shared" ca="1" si="23"/>
        <v>9903.2184482442499</v>
      </c>
      <c r="Z87" s="145">
        <f t="shared" ca="1" si="23"/>
        <v>2275.5680446625761</v>
      </c>
      <c r="AA87" s="145"/>
      <c r="AB87" s="145">
        <f t="shared" ca="1" si="22"/>
        <v>40429.821599999996</v>
      </c>
    </row>
    <row r="88" spans="1:28">
      <c r="A88" s="116">
        <v>2025</v>
      </c>
      <c r="B88" t="s">
        <v>343</v>
      </c>
      <c r="C88" s="117" t="s">
        <v>289</v>
      </c>
      <c r="D88">
        <f>Summary!L25</f>
        <v>87988.76840880001</v>
      </c>
      <c r="E88">
        <f t="shared" ref="E88:E91" si="24">D88*1.02</f>
        <v>89748.543776976017</v>
      </c>
      <c r="H88" s="116">
        <v>2021</v>
      </c>
      <c r="I88" s="116" t="s">
        <v>349</v>
      </c>
      <c r="J88" s="116" t="s">
        <v>343</v>
      </c>
      <c r="K88" s="118" t="s">
        <v>289</v>
      </c>
      <c r="L88" s="116">
        <v>2</v>
      </c>
      <c r="M88" s="119">
        <f t="shared" ca="1" si="19"/>
        <v>1241.2896225848538</v>
      </c>
      <c r="N88" s="119">
        <v>0</v>
      </c>
      <c r="O88" s="119">
        <v>0</v>
      </c>
      <c r="P88" s="119" t="s">
        <v>327</v>
      </c>
      <c r="R88" s="147">
        <f t="shared" si="21"/>
        <v>2025</v>
      </c>
      <c r="S88" s="145">
        <f t="shared" ca="1" si="23"/>
        <v>0</v>
      </c>
      <c r="T88" s="145">
        <f t="shared" ca="1" si="23"/>
        <v>0</v>
      </c>
      <c r="U88" s="145">
        <f t="shared" ca="1" si="23"/>
        <v>0</v>
      </c>
      <c r="V88" s="145">
        <f t="shared" ca="1" si="23"/>
        <v>0</v>
      </c>
      <c r="W88" s="145">
        <f t="shared" ca="1" si="23"/>
        <v>0</v>
      </c>
      <c r="X88" s="145">
        <f t="shared" ca="1" si="23"/>
        <v>0</v>
      </c>
      <c r="Y88" s="145">
        <f t="shared" ca="1" si="23"/>
        <v>0</v>
      </c>
      <c r="Z88" s="145">
        <f t="shared" ca="1" si="23"/>
        <v>0</v>
      </c>
      <c r="AA88" s="145"/>
      <c r="AB88" s="145">
        <f t="shared" ca="1" si="22"/>
        <v>0</v>
      </c>
    </row>
    <row r="89" spans="1:28">
      <c r="A89" s="116">
        <v>2025</v>
      </c>
      <c r="B89" t="s">
        <v>344</v>
      </c>
      <c r="C89" s="117" t="s">
        <v>291</v>
      </c>
      <c r="D89">
        <f>Summary!L29+Summary!L30</f>
        <v>8192</v>
      </c>
      <c r="E89">
        <f t="shared" si="24"/>
        <v>8355.84</v>
      </c>
      <c r="H89" s="116">
        <v>2021</v>
      </c>
      <c r="I89" s="116" t="s">
        <v>349</v>
      </c>
      <c r="J89" s="116" t="s">
        <v>344</v>
      </c>
      <c r="K89" s="118" t="s">
        <v>291</v>
      </c>
      <c r="L89" s="116">
        <v>2</v>
      </c>
      <c r="M89" s="119">
        <f t="shared" ca="1" si="19"/>
        <v>129.78818333863177</v>
      </c>
      <c r="N89" s="119">
        <v>0</v>
      </c>
      <c r="O89" s="119">
        <v>0</v>
      </c>
      <c r="P89" s="119" t="s">
        <v>345</v>
      </c>
      <c r="R89" s="147">
        <f t="shared" si="21"/>
        <v>2025</v>
      </c>
      <c r="S89" s="145">
        <f t="shared" ca="1" si="23"/>
        <v>2814.9732776732485</v>
      </c>
      <c r="T89" s="145">
        <f t="shared" ca="1" si="23"/>
        <v>2600.6589281475462</v>
      </c>
      <c r="U89" s="145">
        <f t="shared" ca="1" si="23"/>
        <v>239.26211302211502</v>
      </c>
      <c r="V89" s="145">
        <f t="shared" ca="1" si="23"/>
        <v>2208.6429431047591</v>
      </c>
      <c r="W89" s="145">
        <f t="shared" ca="1" si="23"/>
        <v>242.07117614945781</v>
      </c>
      <c r="X89" s="145">
        <f t="shared" ca="1" si="23"/>
        <v>2570.9285794584998</v>
      </c>
      <c r="Y89" s="145">
        <f t="shared" ca="1" si="23"/>
        <v>3742.5913052323062</v>
      </c>
      <c r="Z89" s="145">
        <f t="shared" ca="1" si="23"/>
        <v>859.97509021206508</v>
      </c>
      <c r="AA89" s="145"/>
      <c r="AB89" s="145">
        <f t="shared" ca="1" si="22"/>
        <v>15279.103412999999</v>
      </c>
    </row>
    <row r="90" spans="1:28">
      <c r="A90" s="116">
        <v>2025</v>
      </c>
      <c r="B90" t="s">
        <v>344</v>
      </c>
      <c r="C90" s="117" t="s">
        <v>292</v>
      </c>
      <c r="D90">
        <f>Summary!L32+Summary!L33</f>
        <v>1842</v>
      </c>
      <c r="E90">
        <f t="shared" si="24"/>
        <v>1878.8400000000001</v>
      </c>
      <c r="H90" s="116">
        <v>2021</v>
      </c>
      <c r="I90" s="116" t="s">
        <v>349</v>
      </c>
      <c r="J90" s="116" t="s">
        <v>344</v>
      </c>
      <c r="K90" s="118" t="s">
        <v>292</v>
      </c>
      <c r="L90" s="116">
        <v>3</v>
      </c>
      <c r="M90" s="119">
        <f t="shared" ca="1" si="19"/>
        <v>29.183329310273404</v>
      </c>
      <c r="N90" s="119">
        <v>0</v>
      </c>
      <c r="O90" s="119">
        <v>0</v>
      </c>
      <c r="P90" s="119" t="s">
        <v>345</v>
      </c>
      <c r="R90" s="147">
        <f t="shared" si="21"/>
        <v>2025</v>
      </c>
      <c r="S90" s="145">
        <f t="shared" ca="1" si="23"/>
        <v>379716.20427680603</v>
      </c>
      <c r="T90" s="145">
        <f t="shared" ca="1" si="23"/>
        <v>350807.00220039522</v>
      </c>
      <c r="U90" s="145">
        <f t="shared" ca="1" si="23"/>
        <v>32274.445411112494</v>
      </c>
      <c r="V90" s="145">
        <f t="shared" ca="1" si="23"/>
        <v>297927.34503387386</v>
      </c>
      <c r="W90" s="145">
        <f t="shared" ca="1" si="23"/>
        <v>32653.364385849687</v>
      </c>
      <c r="X90" s="145">
        <f t="shared" ca="1" si="23"/>
        <v>346796.62837355671</v>
      </c>
      <c r="Y90" s="145">
        <f t="shared" ca="1" si="23"/>
        <v>504844.06933938467</v>
      </c>
      <c r="Z90" s="145">
        <f t="shared" ca="1" si="23"/>
        <v>116003.40209902108</v>
      </c>
      <c r="AA90" s="145"/>
      <c r="AB90" s="145">
        <f t="shared" ca="1" si="22"/>
        <v>2061022.4611199999</v>
      </c>
    </row>
    <row r="91" spans="1:28">
      <c r="A91" s="116">
        <v>2025</v>
      </c>
      <c r="B91" t="s">
        <v>295</v>
      </c>
      <c r="C91" s="117" t="s">
        <v>295</v>
      </c>
      <c r="D91">
        <f>Summary!L37</f>
        <v>48620.25</v>
      </c>
      <c r="E91">
        <f t="shared" si="24"/>
        <v>49592.654999999999</v>
      </c>
      <c r="H91" s="116">
        <v>2021</v>
      </c>
      <c r="I91" s="116" t="s">
        <v>349</v>
      </c>
      <c r="J91" s="116" t="s">
        <v>295</v>
      </c>
      <c r="K91" s="118" t="s">
        <v>295</v>
      </c>
      <c r="L91" s="116">
        <v>2</v>
      </c>
      <c r="M91" s="119">
        <f t="shared" ca="1" si="19"/>
        <v>633.73136395816289</v>
      </c>
      <c r="N91" s="119">
        <v>0</v>
      </c>
      <c r="O91" s="119">
        <v>0</v>
      </c>
      <c r="P91" s="119" t="s">
        <v>327</v>
      </c>
      <c r="R91" s="147">
        <f t="shared" si="21"/>
        <v>2025</v>
      </c>
      <c r="S91" s="145">
        <f t="shared" ca="1" si="23"/>
        <v>5689.9496608610316</v>
      </c>
      <c r="T91" s="145">
        <f t="shared" ca="1" si="23"/>
        <v>5256.7527029810744</v>
      </c>
      <c r="U91" s="145">
        <f t="shared" ca="1" si="23"/>
        <v>483.62426373452132</v>
      </c>
      <c r="V91" s="145">
        <f t="shared" ca="1" si="23"/>
        <v>4464.364640601314</v>
      </c>
      <c r="W91" s="145">
        <f t="shared" ca="1" si="23"/>
        <v>489.30226711577291</v>
      </c>
      <c r="X91" s="145">
        <f t="shared" ca="1" si="23"/>
        <v>5196.6582826246777</v>
      </c>
      <c r="Y91" s="145">
        <f t="shared" ca="1" si="23"/>
        <v>7564.9585368532471</v>
      </c>
      <c r="Z91" s="145">
        <f t="shared" ca="1" si="23"/>
        <v>1738.2811452283565</v>
      </c>
      <c r="AA91" s="145"/>
      <c r="AB91" s="145">
        <f t="shared" ca="1" si="22"/>
        <v>30883.891499999994</v>
      </c>
    </row>
    <row r="92" spans="1:28">
      <c r="H92" s="116">
        <v>2021</v>
      </c>
      <c r="I92" s="116" t="s">
        <v>350</v>
      </c>
      <c r="J92" s="116" t="s">
        <v>30</v>
      </c>
      <c r="K92" s="118" t="s">
        <v>31</v>
      </c>
      <c r="L92" s="116">
        <v>255</v>
      </c>
      <c r="M92" s="119">
        <f t="shared" ref="M92:M109" ca="1" si="25">X14</f>
        <v>0</v>
      </c>
      <c r="N92" s="119">
        <v>0</v>
      </c>
      <c r="O92" s="119">
        <v>0</v>
      </c>
      <c r="P92" s="119" t="s">
        <v>327</v>
      </c>
      <c r="R92" s="147">
        <f t="shared" si="21"/>
        <v>2025</v>
      </c>
      <c r="S92" s="145">
        <f t="shared" ca="1" si="23"/>
        <v>2240.8056300772719</v>
      </c>
      <c r="T92" s="145">
        <f t="shared" ca="1" si="23"/>
        <v>2070.2047917558198</v>
      </c>
      <c r="U92" s="145">
        <f t="shared" ca="1" si="23"/>
        <v>190.46002822708607</v>
      </c>
      <c r="V92" s="145">
        <f t="shared" ca="1" si="23"/>
        <v>1758.1479657349903</v>
      </c>
      <c r="W92" s="145">
        <f t="shared" ca="1" si="23"/>
        <v>192.69612919504803</v>
      </c>
      <c r="X92" s="145">
        <f t="shared" ca="1" si="23"/>
        <v>2046.5385163936462</v>
      </c>
      <c r="Y92" s="145">
        <f t="shared" ca="1" si="23"/>
        <v>2979.2182165134791</v>
      </c>
      <c r="Z92" s="145">
        <f t="shared" ca="1" si="23"/>
        <v>684.56672010265834</v>
      </c>
      <c r="AA92" s="145"/>
      <c r="AB92" s="145">
        <f t="shared" ca="1" si="22"/>
        <v>12162.637998000002</v>
      </c>
    </row>
    <row r="93" spans="1:28">
      <c r="H93" s="116">
        <v>2021</v>
      </c>
      <c r="I93" s="116" t="s">
        <v>350</v>
      </c>
      <c r="J93" s="116" t="s">
        <v>30</v>
      </c>
      <c r="K93" s="118" t="s">
        <v>328</v>
      </c>
      <c r="L93" s="116">
        <v>165</v>
      </c>
      <c r="M93" s="119">
        <f t="shared" ca="1" si="25"/>
        <v>6057.5170125334889</v>
      </c>
      <c r="N93" s="119">
        <v>0</v>
      </c>
      <c r="O93" s="119">
        <v>0</v>
      </c>
      <c r="P93" s="119" t="s">
        <v>327</v>
      </c>
      <c r="R93" s="147">
        <f t="shared" si="21"/>
        <v>2025</v>
      </c>
      <c r="S93" s="145">
        <f t="shared" ca="1" si="23"/>
        <v>724.1754113823132</v>
      </c>
      <c r="T93" s="145">
        <f t="shared" ca="1" si="23"/>
        <v>669.04125310668223</v>
      </c>
      <c r="U93" s="145">
        <f t="shared" ca="1" si="23"/>
        <v>61.552179020757265</v>
      </c>
      <c r="V93" s="145">
        <f t="shared" ca="1" si="23"/>
        <v>568.19186334925814</v>
      </c>
      <c r="W93" s="145">
        <f t="shared" ca="1" si="23"/>
        <v>62.274833996552914</v>
      </c>
      <c r="X93" s="145">
        <f t="shared" ca="1" si="23"/>
        <v>661.39287233404991</v>
      </c>
      <c r="Y93" s="145">
        <f t="shared" ca="1" si="23"/>
        <v>962.81290469041323</v>
      </c>
      <c r="Z93" s="145">
        <f t="shared" ca="1" si="23"/>
        <v>221.23578211997267</v>
      </c>
      <c r="AA93" s="145"/>
      <c r="AB93" s="145">
        <f t="shared" ca="1" si="22"/>
        <v>3930.6770999999994</v>
      </c>
    </row>
    <row r="94" spans="1:28">
      <c r="H94" s="116">
        <v>2021</v>
      </c>
      <c r="I94" s="116" t="s">
        <v>350</v>
      </c>
      <c r="J94" s="116" t="s">
        <v>30</v>
      </c>
      <c r="K94" s="118" t="s">
        <v>329</v>
      </c>
      <c r="L94" s="116">
        <v>75</v>
      </c>
      <c r="M94" s="119">
        <f t="shared" ca="1" si="25"/>
        <v>0</v>
      </c>
      <c r="N94" s="119">
        <v>0</v>
      </c>
      <c r="O94" s="119">
        <v>0</v>
      </c>
      <c r="P94" s="119" t="s">
        <v>327</v>
      </c>
      <c r="R94" s="147">
        <f t="shared" si="21"/>
        <v>2025</v>
      </c>
      <c r="S94" s="145">
        <f t="shared" ca="1" si="23"/>
        <v>517.26815098736643</v>
      </c>
      <c r="T94" s="145">
        <f t="shared" ca="1" si="23"/>
        <v>477.88660936191582</v>
      </c>
      <c r="U94" s="145">
        <f t="shared" ca="1" si="23"/>
        <v>43.965842157683753</v>
      </c>
      <c r="V94" s="145">
        <f t="shared" ca="1" si="23"/>
        <v>405.8513309637558</v>
      </c>
      <c r="W94" s="145">
        <f t="shared" ca="1" si="23"/>
        <v>44.482024283252073</v>
      </c>
      <c r="X94" s="145">
        <f t="shared" ca="1" si="23"/>
        <v>472.42348023860706</v>
      </c>
      <c r="Y94" s="145">
        <f t="shared" ca="1" si="23"/>
        <v>687.72350335029512</v>
      </c>
      <c r="Z94" s="145">
        <f t="shared" ca="1" si="23"/>
        <v>158.0255586571233</v>
      </c>
      <c r="AA94" s="145"/>
      <c r="AB94" s="145">
        <f t="shared" ca="1" si="22"/>
        <v>2807.6264999999994</v>
      </c>
    </row>
    <row r="95" spans="1:28">
      <c r="H95" s="116">
        <v>2021</v>
      </c>
      <c r="I95" s="116" t="s">
        <v>350</v>
      </c>
      <c r="J95" s="116" t="s">
        <v>30</v>
      </c>
      <c r="K95" s="118" t="s">
        <v>330</v>
      </c>
      <c r="L95" s="116">
        <v>15</v>
      </c>
      <c r="M95" s="119">
        <f t="shared" ca="1" si="25"/>
        <v>2289.2366376532809</v>
      </c>
      <c r="N95" s="119">
        <v>0</v>
      </c>
      <c r="O95" s="119">
        <v>0</v>
      </c>
      <c r="P95" s="119" t="s">
        <v>327</v>
      </c>
      <c r="R95" s="147">
        <f t="shared" si="21"/>
        <v>2025</v>
      </c>
      <c r="S95" s="145">
        <f t="shared" ca="1" si="23"/>
        <v>8986.3961334733212</v>
      </c>
      <c r="T95" s="145">
        <f t="shared" ca="1" si="23"/>
        <v>8302.228487122693</v>
      </c>
      <c r="U95" s="145">
        <f t="shared" ca="1" si="23"/>
        <v>763.80978263700842</v>
      </c>
      <c r="V95" s="145">
        <f t="shared" ca="1" si="23"/>
        <v>7050.7740025671374</v>
      </c>
      <c r="W95" s="145">
        <f t="shared" ca="1" si="23"/>
        <v>772.77731146808173</v>
      </c>
      <c r="X95" s="145">
        <f t="shared" ca="1" si="23"/>
        <v>8207.3186374892739</v>
      </c>
      <c r="Y95" s="145">
        <f t="shared" ca="1" si="23"/>
        <v>11947.682879004009</v>
      </c>
      <c r="Z95" s="145">
        <f t="shared" ca="1" si="23"/>
        <v>2745.3464254384721</v>
      </c>
      <c r="AA95" s="145"/>
      <c r="AB95" s="145">
        <f t="shared" ca="1" si="22"/>
        <v>48776.333659199998</v>
      </c>
    </row>
    <row r="96" spans="1:28">
      <c r="H96" s="116">
        <v>2021</v>
      </c>
      <c r="I96" s="116" t="s">
        <v>350</v>
      </c>
      <c r="J96" s="116" t="s">
        <v>278</v>
      </c>
      <c r="K96" s="118" t="s">
        <v>278</v>
      </c>
      <c r="L96" s="116">
        <v>50</v>
      </c>
      <c r="M96" s="119">
        <f t="shared" ca="1" si="25"/>
        <v>308798.75615004048</v>
      </c>
      <c r="N96" s="119">
        <f ca="1">X108</f>
        <v>41417.13385715356</v>
      </c>
      <c r="O96" s="119">
        <f ca="1">X116</f>
        <v>3274.9800602290425</v>
      </c>
      <c r="P96" s="119" t="s">
        <v>327</v>
      </c>
      <c r="R96" s="147">
        <f t="shared" si="21"/>
        <v>2025</v>
      </c>
      <c r="S96" s="145">
        <f t="shared" ref="S96:Z103" ca="1" si="26">S$13/SUM($S$13:$Z$13)*$D84</f>
        <v>115.66115856077515</v>
      </c>
      <c r="T96" s="145">
        <f t="shared" ca="1" si="26"/>
        <v>106.85544585332438</v>
      </c>
      <c r="U96" s="145">
        <f t="shared" ca="1" si="26"/>
        <v>9.8307623064580874</v>
      </c>
      <c r="V96" s="145">
        <f t="shared" ca="1" si="26"/>
        <v>90.748357603495805</v>
      </c>
      <c r="W96" s="145">
        <f t="shared" ca="1" si="26"/>
        <v>9.9461806297351654</v>
      </c>
      <c r="X96" s="145">
        <f t="shared" ca="1" si="26"/>
        <v>105.63389018135254</v>
      </c>
      <c r="Y96" s="145">
        <f t="shared" ca="1" si="26"/>
        <v>153.77497534912601</v>
      </c>
      <c r="Z96" s="145">
        <f t="shared" ca="1" si="26"/>
        <v>35.334514915732775</v>
      </c>
      <c r="AA96" s="145"/>
      <c r="AB96" s="145">
        <f t="shared" ca="1" si="22"/>
        <v>627.78528540000002</v>
      </c>
    </row>
    <row r="97" spans="8:28">
      <c r="H97" s="116">
        <v>2021</v>
      </c>
      <c r="I97" s="116" t="s">
        <v>350</v>
      </c>
      <c r="J97" s="116" t="s">
        <v>331</v>
      </c>
      <c r="K97" s="118" t="s">
        <v>332</v>
      </c>
      <c r="L97" s="116">
        <v>62.5</v>
      </c>
      <c r="M97" s="119">
        <f t="shared" ca="1" si="25"/>
        <v>4627.2699401297486</v>
      </c>
      <c r="N97" s="119">
        <v>0</v>
      </c>
      <c r="O97" s="119">
        <v>0</v>
      </c>
      <c r="P97" s="119" t="s">
        <v>327</v>
      </c>
      <c r="R97" s="147">
        <f t="shared" si="21"/>
        <v>2025</v>
      </c>
      <c r="S97" s="145">
        <f t="shared" ca="1" si="26"/>
        <v>827.62904157978653</v>
      </c>
      <c r="T97" s="145">
        <f t="shared" ca="1" si="26"/>
        <v>764.61857497906556</v>
      </c>
      <c r="U97" s="145">
        <f t="shared" ca="1" si="26"/>
        <v>70.345347452294021</v>
      </c>
      <c r="V97" s="145">
        <f t="shared" ca="1" si="26"/>
        <v>649.36212954200937</v>
      </c>
      <c r="W97" s="145">
        <f t="shared" ca="1" si="26"/>
        <v>71.171238853203349</v>
      </c>
      <c r="X97" s="145">
        <f t="shared" ca="1" si="26"/>
        <v>755.87756838177154</v>
      </c>
      <c r="Y97" s="145">
        <f t="shared" ca="1" si="26"/>
        <v>1100.3576053604725</v>
      </c>
      <c r="Z97" s="145">
        <f t="shared" ca="1" si="26"/>
        <v>252.84089385139737</v>
      </c>
      <c r="AA97" s="145"/>
      <c r="AB97" s="145">
        <f t="shared" ca="1" si="22"/>
        <v>4492.2024000000001</v>
      </c>
    </row>
    <row r="98" spans="8:28">
      <c r="H98" s="116">
        <v>2021</v>
      </c>
      <c r="I98" s="116" t="s">
        <v>350</v>
      </c>
      <c r="J98" s="116" t="s">
        <v>331</v>
      </c>
      <c r="K98" s="118" t="s">
        <v>333</v>
      </c>
      <c r="L98" s="116">
        <v>1</v>
      </c>
      <c r="M98" s="119">
        <f t="shared" ca="1" si="25"/>
        <v>1822.3030346038245</v>
      </c>
      <c r="N98" s="119">
        <v>0</v>
      </c>
      <c r="O98" s="119">
        <v>0</v>
      </c>
      <c r="P98" s="119" t="s">
        <v>327</v>
      </c>
      <c r="R98" s="147">
        <f t="shared" si="21"/>
        <v>2025</v>
      </c>
      <c r="S98" s="145">
        <f t="shared" ca="1" si="26"/>
        <v>124.14435623696797</v>
      </c>
      <c r="T98" s="145">
        <f t="shared" ca="1" si="26"/>
        <v>114.69278624685981</v>
      </c>
      <c r="U98" s="145">
        <f t="shared" ca="1" si="26"/>
        <v>10.551802117844103</v>
      </c>
      <c r="V98" s="145">
        <f t="shared" ca="1" si="26"/>
        <v>97.404319431301403</v>
      </c>
      <c r="W98" s="145">
        <f t="shared" ca="1" si="26"/>
        <v>10.6756858279805</v>
      </c>
      <c r="X98" s="145">
        <f t="shared" ca="1" si="26"/>
        <v>113.3816352572657</v>
      </c>
      <c r="Y98" s="145">
        <f t="shared" ca="1" si="26"/>
        <v>165.05364080407085</v>
      </c>
      <c r="Z98" s="145">
        <f t="shared" ca="1" si="26"/>
        <v>37.926134077709598</v>
      </c>
      <c r="AA98" s="145"/>
      <c r="AB98" s="145">
        <f t="shared" ca="1" si="22"/>
        <v>673.83035999999993</v>
      </c>
    </row>
    <row r="99" spans="8:28">
      <c r="H99" s="116">
        <v>2021</v>
      </c>
      <c r="I99" s="116" t="s">
        <v>350</v>
      </c>
      <c r="J99" s="116" t="s">
        <v>331</v>
      </c>
      <c r="K99" s="118" t="s">
        <v>334</v>
      </c>
      <c r="L99" s="116">
        <v>1</v>
      </c>
      <c r="M99" s="119">
        <f t="shared" ca="1" si="25"/>
        <v>588.92526510742255</v>
      </c>
      <c r="N99" s="119">
        <v>0</v>
      </c>
      <c r="O99" s="119">
        <v>0</v>
      </c>
      <c r="P99" s="119" t="s">
        <v>327</v>
      </c>
      <c r="R99" s="147">
        <f t="shared" si="21"/>
        <v>2025</v>
      </c>
      <c r="S99" s="145">
        <f t="shared" ca="1" si="26"/>
        <v>3899.7880439239534</v>
      </c>
      <c r="T99" s="145">
        <f t="shared" ca="1" si="26"/>
        <v>3602.882725301356</v>
      </c>
      <c r="U99" s="145">
        <f t="shared" ca="1" si="26"/>
        <v>331.46727719520936</v>
      </c>
      <c r="V99" s="145">
        <f t="shared" ca="1" si="26"/>
        <v>3059.7943544019477</v>
      </c>
      <c r="W99" s="145">
        <f t="shared" ca="1" si="26"/>
        <v>335.35887747629408</v>
      </c>
      <c r="X99" s="145">
        <f t="shared" ca="1" si="26"/>
        <v>3561.6951022149065</v>
      </c>
      <c r="Y99" s="145">
        <f t="shared" ca="1" si="26"/>
        <v>5184.8850364585451</v>
      </c>
      <c r="Z99" s="145">
        <f t="shared" ca="1" si="26"/>
        <v>1191.3862918277841</v>
      </c>
      <c r="AA99" s="145"/>
      <c r="AB99" s="145">
        <f t="shared" ca="1" si="22"/>
        <v>21167.257708799996</v>
      </c>
    </row>
    <row r="100" spans="8:28">
      <c r="H100" s="116">
        <v>2021</v>
      </c>
      <c r="I100" s="116" t="s">
        <v>350</v>
      </c>
      <c r="J100" s="116" t="s">
        <v>331</v>
      </c>
      <c r="K100" s="118" t="s">
        <v>335</v>
      </c>
      <c r="L100" s="116">
        <v>2</v>
      </c>
      <c r="M100" s="119">
        <f t="shared" ca="1" si="25"/>
        <v>420.66090364815892</v>
      </c>
      <c r="N100" s="119">
        <v>0</v>
      </c>
      <c r="O100" s="119">
        <v>0</v>
      </c>
      <c r="P100" s="119" t="s">
        <v>327</v>
      </c>
      <c r="R100" s="147">
        <f t="shared" si="21"/>
        <v>2025</v>
      </c>
      <c r="S100" s="145">
        <f t="shared" ca="1" si="26"/>
        <v>16210.770037423277</v>
      </c>
      <c r="T100" s="145">
        <f t="shared" ca="1" si="26"/>
        <v>14976.584028114954</v>
      </c>
      <c r="U100" s="145">
        <f t="shared" ca="1" si="26"/>
        <v>1377.8543205480828</v>
      </c>
      <c r="V100" s="145">
        <f t="shared" ca="1" si="26"/>
        <v>12719.056031339336</v>
      </c>
      <c r="W100" s="145">
        <f t="shared" ca="1" si="26"/>
        <v>1394.0310554176938</v>
      </c>
      <c r="X100" s="145">
        <f t="shared" ca="1" si="26"/>
        <v>14805.373931893757</v>
      </c>
      <c r="Y100" s="145">
        <f t="shared" ca="1" si="26"/>
        <v>21552.704416195571</v>
      </c>
      <c r="Z100" s="145">
        <f t="shared" ca="1" si="26"/>
        <v>4952.3945878673194</v>
      </c>
      <c r="AA100" s="145"/>
      <c r="AB100" s="145">
        <f t="shared" ca="1" si="22"/>
        <v>87988.768408799995</v>
      </c>
    </row>
    <row r="101" spans="8:28">
      <c r="H101" s="116">
        <v>2021</v>
      </c>
      <c r="I101" s="116" t="s">
        <v>350</v>
      </c>
      <c r="J101" s="116" t="s">
        <v>331</v>
      </c>
      <c r="K101" s="118" t="s">
        <v>336</v>
      </c>
      <c r="L101" s="116">
        <v>2</v>
      </c>
      <c r="M101" s="119">
        <f t="shared" ca="1" si="25"/>
        <v>7308.0577468987358</v>
      </c>
      <c r="N101" s="119">
        <v>0</v>
      </c>
      <c r="O101" s="119">
        <v>0</v>
      </c>
      <c r="P101" s="119" t="s">
        <v>327</v>
      </c>
      <c r="R101" s="147">
        <f t="shared" si="21"/>
        <v>2025</v>
      </c>
      <c r="S101" s="145">
        <f t="shared" ca="1" si="26"/>
        <v>1509.2679503090978</v>
      </c>
      <c r="T101" s="145">
        <f t="shared" ca="1" si="26"/>
        <v>1394.3617870442577</v>
      </c>
      <c r="U101" s="145">
        <f t="shared" ca="1" si="26"/>
        <v>128.28208415747085</v>
      </c>
      <c r="V101" s="145">
        <f t="shared" ca="1" si="26"/>
        <v>1184.1796276160976</v>
      </c>
      <c r="W101" s="145">
        <f t="shared" ca="1" si="26"/>
        <v>129.78818333863177</v>
      </c>
      <c r="X101" s="145">
        <f t="shared" ca="1" si="26"/>
        <v>1378.4216490742872</v>
      </c>
      <c r="Y101" s="145">
        <f t="shared" ca="1" si="26"/>
        <v>2006.6169554410524</v>
      </c>
      <c r="Z101" s="145">
        <f t="shared" ca="1" si="26"/>
        <v>461.08176301910322</v>
      </c>
      <c r="AA101" s="145"/>
      <c r="AB101" s="145">
        <f t="shared" ca="1" si="22"/>
        <v>8191.9999999999982</v>
      </c>
    </row>
    <row r="102" spans="8:28">
      <c r="H102" s="116">
        <v>2021</v>
      </c>
      <c r="I102" s="116" t="s">
        <v>350</v>
      </c>
      <c r="J102" s="116" t="s">
        <v>331</v>
      </c>
      <c r="K102" s="118" t="s">
        <v>337</v>
      </c>
      <c r="L102" s="116">
        <v>1</v>
      </c>
      <c r="M102" s="119">
        <f t="shared" ca="1" si="25"/>
        <v>94.059778055728344</v>
      </c>
      <c r="N102" s="119">
        <v>0</v>
      </c>
      <c r="O102" s="119">
        <v>0</v>
      </c>
      <c r="P102" s="119" t="s">
        <v>327</v>
      </c>
      <c r="R102" s="147">
        <f t="shared" si="21"/>
        <v>2025</v>
      </c>
      <c r="S102" s="145">
        <f t="shared" ca="1" si="26"/>
        <v>339.36420464713848</v>
      </c>
      <c r="T102" s="145">
        <f t="shared" ca="1" si="26"/>
        <v>313.52714987005891</v>
      </c>
      <c r="U102" s="145">
        <f t="shared" ca="1" si="26"/>
        <v>28.844677614509436</v>
      </c>
      <c r="V102" s="145">
        <f t="shared" ca="1" si="26"/>
        <v>266.26695240098286</v>
      </c>
      <c r="W102" s="145">
        <f t="shared" ca="1" si="26"/>
        <v>29.183329310273404</v>
      </c>
      <c r="X102" s="145">
        <f t="shared" ca="1" si="26"/>
        <v>309.94295380796348</v>
      </c>
      <c r="Y102" s="145">
        <f t="shared" ca="1" si="26"/>
        <v>451.19487694365461</v>
      </c>
      <c r="Z102" s="145">
        <f t="shared" ca="1" si="26"/>
        <v>103.67585540541847</v>
      </c>
      <c r="AA102" s="145"/>
      <c r="AB102" s="145">
        <f t="shared" ca="1" si="22"/>
        <v>1841.9999999999995</v>
      </c>
    </row>
    <row r="103" spans="8:28">
      <c r="H103" s="116">
        <v>2021</v>
      </c>
      <c r="I103" s="116" t="s">
        <v>350</v>
      </c>
      <c r="J103" s="116" t="s">
        <v>331</v>
      </c>
      <c r="K103" s="118" t="s">
        <v>338</v>
      </c>
      <c r="L103" s="116">
        <v>4</v>
      </c>
      <c r="M103" s="119">
        <f t="shared" ca="1" si="25"/>
        <v>673.05744583705427</v>
      </c>
      <c r="N103" s="119">
        <v>0</v>
      </c>
      <c r="O103" s="119">
        <v>0</v>
      </c>
      <c r="P103" s="119" t="s">
        <v>327</v>
      </c>
      <c r="R103" s="147">
        <f t="shared" si="21"/>
        <v>2025</v>
      </c>
      <c r="S103" s="145">
        <f t="shared" ca="1" si="26"/>
        <v>8957.6397779560448</v>
      </c>
      <c r="T103" s="145">
        <f t="shared" ca="1" si="26"/>
        <v>8275.6614595383999</v>
      </c>
      <c r="U103" s="145">
        <f t="shared" ca="1" si="26"/>
        <v>761.36560086148336</v>
      </c>
      <c r="V103" s="145">
        <f t="shared" ca="1" si="26"/>
        <v>7028.211613720895</v>
      </c>
      <c r="W103" s="145">
        <f t="shared" ca="1" si="26"/>
        <v>770.30443371217177</v>
      </c>
      <c r="X103" s="145">
        <f t="shared" ca="1" si="26"/>
        <v>8181.0553202397596</v>
      </c>
      <c r="Y103" s="145">
        <f t="shared" ca="1" si="26"/>
        <v>11909.450442844583</v>
      </c>
      <c r="Z103" s="145">
        <f t="shared" ca="1" si="26"/>
        <v>2736.5613511266542</v>
      </c>
      <c r="AA103" s="145"/>
      <c r="AB103" s="145">
        <f t="shared" ca="1" si="22"/>
        <v>48620.249999999985</v>
      </c>
    </row>
    <row r="104" spans="8:28">
      <c r="H104" s="116">
        <v>2021</v>
      </c>
      <c r="I104" s="116" t="s">
        <v>350</v>
      </c>
      <c r="J104" s="116" t="s">
        <v>331</v>
      </c>
      <c r="K104" s="118" t="s">
        <v>341</v>
      </c>
      <c r="L104" s="116">
        <v>5</v>
      </c>
      <c r="M104" s="119">
        <f t="shared" ca="1" si="25"/>
        <v>100.95861687555815</v>
      </c>
      <c r="N104" s="119">
        <v>0</v>
      </c>
      <c r="O104" s="119">
        <v>0</v>
      </c>
      <c r="P104" s="119" t="s">
        <v>327</v>
      </c>
      <c r="R104" s="148"/>
      <c r="S104" s="145"/>
      <c r="T104" s="145"/>
      <c r="U104" s="145"/>
      <c r="V104" s="145"/>
      <c r="W104" s="145"/>
      <c r="X104" s="145"/>
      <c r="Y104" s="145"/>
      <c r="Z104" s="145"/>
      <c r="AA104" s="145"/>
      <c r="AB104" s="145"/>
    </row>
    <row r="105" spans="8:28">
      <c r="H105" s="116">
        <v>2021</v>
      </c>
      <c r="I105" s="116" t="s">
        <v>350</v>
      </c>
      <c r="J105" s="116" t="s">
        <v>331</v>
      </c>
      <c r="K105" s="118" t="s">
        <v>342</v>
      </c>
      <c r="L105" s="116">
        <v>1</v>
      </c>
      <c r="M105" s="119">
        <f t="shared" ca="1" si="25"/>
        <v>3171.4466847842</v>
      </c>
      <c r="N105" s="119">
        <v>0</v>
      </c>
      <c r="O105" s="119">
        <v>0</v>
      </c>
      <c r="P105" s="119" t="s">
        <v>327</v>
      </c>
      <c r="R105" s="148"/>
      <c r="S105" s="145"/>
      <c r="T105" s="145"/>
      <c r="U105" s="145"/>
      <c r="V105" s="145"/>
      <c r="W105" s="145"/>
      <c r="X105" s="145"/>
      <c r="Y105" s="145"/>
      <c r="Z105" s="145"/>
      <c r="AA105" s="145"/>
      <c r="AB105" s="145"/>
    </row>
    <row r="106" spans="8:28">
      <c r="H106" s="116">
        <v>2021</v>
      </c>
      <c r="I106" s="116" t="s">
        <v>350</v>
      </c>
      <c r="J106" s="116" t="s">
        <v>343</v>
      </c>
      <c r="K106" s="118" t="s">
        <v>289</v>
      </c>
      <c r="L106" s="116">
        <v>2</v>
      </c>
      <c r="M106" s="119">
        <f t="shared" ca="1" si="25"/>
        <v>13183.176191610382</v>
      </c>
      <c r="N106" s="119">
        <v>0</v>
      </c>
      <c r="O106" s="119">
        <v>0</v>
      </c>
      <c r="P106" s="119" t="s">
        <v>327</v>
      </c>
      <c r="R106" s="148"/>
      <c r="S106" s="189" t="s">
        <v>351</v>
      </c>
      <c r="T106" s="189"/>
      <c r="U106" s="189"/>
      <c r="V106" s="189"/>
      <c r="W106" s="189"/>
      <c r="X106" s="189"/>
      <c r="Y106" s="189"/>
      <c r="Z106" s="189"/>
      <c r="AA106" s="145"/>
      <c r="AB106" s="145"/>
    </row>
    <row r="107" spans="8:28">
      <c r="H107" s="116">
        <v>2021</v>
      </c>
      <c r="I107" s="116" t="s">
        <v>350</v>
      </c>
      <c r="J107" s="116" t="s">
        <v>344</v>
      </c>
      <c r="K107" s="118" t="s">
        <v>291</v>
      </c>
      <c r="L107" s="116">
        <v>2</v>
      </c>
      <c r="M107" s="119">
        <f t="shared" ca="1" si="25"/>
        <v>1378.4216490742872</v>
      </c>
      <c r="N107" s="119">
        <v>0</v>
      </c>
      <c r="O107" s="119">
        <v>0</v>
      </c>
      <c r="P107" s="119" t="s">
        <v>345</v>
      </c>
      <c r="R107" s="148"/>
      <c r="S107" s="145">
        <f ca="1">RAND()</f>
        <v>0.95155551671481875</v>
      </c>
      <c r="T107" s="145">
        <f t="shared" ref="T107:Z107" ca="1" si="27">RAND()</f>
        <v>0.62293728434089557</v>
      </c>
      <c r="U107" s="145">
        <f t="shared" ca="1" si="27"/>
        <v>0.16321223173146093</v>
      </c>
      <c r="V107" s="145">
        <f t="shared" ca="1" si="27"/>
        <v>0.18620776109718729</v>
      </c>
      <c r="W107" s="145">
        <f t="shared" ca="1" si="27"/>
        <v>0.40384165345533318</v>
      </c>
      <c r="X107" s="145">
        <f t="shared" ca="1" si="27"/>
        <v>5.8880367920187138E-2</v>
      </c>
      <c r="Y107" s="145">
        <f t="shared" ca="1" si="27"/>
        <v>0.53295965819700386</v>
      </c>
      <c r="Z107" s="145">
        <f t="shared" ca="1" si="27"/>
        <v>0.3607182157625074</v>
      </c>
      <c r="AA107" s="145"/>
      <c r="AB107" s="145"/>
    </row>
    <row r="108" spans="8:28">
      <c r="H108" s="116">
        <v>2021</v>
      </c>
      <c r="I108" s="116" t="s">
        <v>350</v>
      </c>
      <c r="J108" s="116" t="s">
        <v>344</v>
      </c>
      <c r="K108" s="118" t="s">
        <v>292</v>
      </c>
      <c r="L108" s="116">
        <v>3</v>
      </c>
      <c r="M108" s="119">
        <f t="shared" ca="1" si="25"/>
        <v>309.94295380796348</v>
      </c>
      <c r="N108" s="119">
        <v>0</v>
      </c>
      <c r="O108" s="119">
        <v>0</v>
      </c>
      <c r="P108" s="119" t="s">
        <v>345</v>
      </c>
      <c r="R108" s="144">
        <v>2021</v>
      </c>
      <c r="S108" s="145">
        <f ca="1">S107/SUM($S$107:$Z$107)*Summary!$H$43</f>
        <v>669335.18930642772</v>
      </c>
      <c r="T108" s="145">
        <f ca="1">T107/SUM($S$107:$Z$107)*Summary!$H$43</f>
        <v>438181.31240502954</v>
      </c>
      <c r="U108" s="145">
        <f ca="1">U107/SUM($S$107:$Z$107)*Summary!$H$43</f>
        <v>114805.37719991202</v>
      </c>
      <c r="V108" s="145">
        <f ca="1">V107/SUM($S$107:$Z$107)*Summary!$H$43</f>
        <v>130980.69932336397</v>
      </c>
      <c r="W108" s="145">
        <f ca="1">W107/SUM($S$107:$Z$107)*Summary!$H$43</f>
        <v>284066.90394540242</v>
      </c>
      <c r="X108" s="145">
        <f ca="1">X107/SUM($S$107:$Z$107)*Summary!$H$43</f>
        <v>41417.13385715356</v>
      </c>
      <c r="Y108" s="145">
        <f ca="1">Y107/SUM($S$107:$Z$107)*Summary!$H$43</f>
        <v>374890.00635881152</v>
      </c>
      <c r="Z108" s="145">
        <f ca="1">Z107/SUM($S$107:$Z$107)*Summary!$H$43</f>
        <v>253733.37760389943</v>
      </c>
      <c r="AA108" s="145"/>
      <c r="AB108" s="145">
        <f ca="1">SUM(S108:Z108)</f>
        <v>2307410</v>
      </c>
    </row>
    <row r="109" spans="8:28">
      <c r="H109" s="116">
        <v>2021</v>
      </c>
      <c r="I109" s="116" t="s">
        <v>350</v>
      </c>
      <c r="J109" s="116" t="s">
        <v>295</v>
      </c>
      <c r="K109" s="118" t="s">
        <v>295</v>
      </c>
      <c r="L109" s="116">
        <v>2</v>
      </c>
      <c r="M109" s="119">
        <f t="shared" ca="1" si="25"/>
        <v>6730.5744583705427</v>
      </c>
      <c r="N109" s="119">
        <v>0</v>
      </c>
      <c r="O109" s="119">
        <v>0</v>
      </c>
      <c r="P109" s="119" t="s">
        <v>327</v>
      </c>
      <c r="R109" s="144">
        <v>2022</v>
      </c>
      <c r="S109" s="145">
        <f ca="1">S107/SUM($S$107:$Z$107)*Summary!$I$43</f>
        <v>702801.94877174916</v>
      </c>
      <c r="T109" s="145">
        <f ca="1">T107/SUM($S$107:$Z$107)*Summary!$I$43</f>
        <v>460090.37802528101</v>
      </c>
      <c r="U109" s="145">
        <f ca="1">U107/SUM($S$107:$Z$107)*Summary!$I$43</f>
        <v>120545.64605990762</v>
      </c>
      <c r="V109" s="145">
        <f ca="1">V107/SUM($S$107:$Z$107)*Summary!$I$43</f>
        <v>137529.73428953218</v>
      </c>
      <c r="W109" s="145">
        <f ca="1">W107/SUM($S$107:$Z$107)*Summary!$I$43</f>
        <v>298270.24914267258</v>
      </c>
      <c r="X109" s="145">
        <f ca="1">X107/SUM($S$107:$Z$107)*Summary!$I$43</f>
        <v>43487.990550011236</v>
      </c>
      <c r="Y109" s="145">
        <f ca="1">Y107/SUM($S$107:$Z$107)*Summary!$I$43</f>
        <v>393634.50667675212</v>
      </c>
      <c r="Z109" s="145">
        <f ca="1">Z107/SUM($S$107:$Z$107)*Summary!$I$43</f>
        <v>266420.0464840944</v>
      </c>
      <c r="AA109" s="145"/>
      <c r="AB109" s="145">
        <f t="shared" ref="AB109:AB120" ca="1" si="28">SUM(S109:Z109)</f>
        <v>2422780.5000000005</v>
      </c>
    </row>
    <row r="110" spans="8:28">
      <c r="H110" s="116">
        <v>2021</v>
      </c>
      <c r="I110" s="116" t="s">
        <v>352</v>
      </c>
      <c r="J110" s="116" t="s">
        <v>30</v>
      </c>
      <c r="K110" s="118" t="s">
        <v>31</v>
      </c>
      <c r="L110" s="116">
        <v>255</v>
      </c>
      <c r="M110" s="119">
        <f t="shared" ref="M110:M127" ca="1" si="29">Y14</f>
        <v>0</v>
      </c>
      <c r="N110" s="119">
        <v>0</v>
      </c>
      <c r="O110" s="119">
        <v>0</v>
      </c>
      <c r="P110" s="119" t="s">
        <v>327</v>
      </c>
      <c r="R110" s="144">
        <v>2023</v>
      </c>
      <c r="S110" s="145">
        <f ca="1">S107/SUM($S$107:$Z$107)*Summary!$J$43</f>
        <v>737942.0462103365</v>
      </c>
      <c r="T110" s="145">
        <f ca="1">T107/SUM($S$107:$Z$107)*Summary!$J$43</f>
        <v>483094.89692654507</v>
      </c>
      <c r="U110" s="145">
        <f ca="1">U107/SUM($S$107:$Z$107)*Summary!$J$43</f>
        <v>126572.928362903</v>
      </c>
      <c r="V110" s="145">
        <f ca="1">V107/SUM($S$107:$Z$107)*Summary!$J$43</f>
        <v>144406.22100400878</v>
      </c>
      <c r="W110" s="145">
        <f ca="1">W107/SUM($S$107:$Z$107)*Summary!$J$43</f>
        <v>313183.7615998062</v>
      </c>
      <c r="X110" s="145">
        <f ca="1">X107/SUM($S$107:$Z$107)*Summary!$J$43</f>
        <v>45662.390077511795</v>
      </c>
      <c r="Y110" s="145">
        <f ca="1">Y107/SUM($S$107:$Z$107)*Summary!$J$43</f>
        <v>413316.23201058968</v>
      </c>
      <c r="Z110" s="145">
        <f ca="1">Z107/SUM($S$107:$Z$107)*Summary!$J$43</f>
        <v>279741.04880829912</v>
      </c>
      <c r="AA110" s="145"/>
      <c r="AB110" s="145">
        <f t="shared" ca="1" si="28"/>
        <v>2543919.5249999999</v>
      </c>
    </row>
    <row r="111" spans="8:28">
      <c r="H111" s="116">
        <v>2021</v>
      </c>
      <c r="I111" s="116" t="s">
        <v>352</v>
      </c>
      <c r="J111" s="116" t="s">
        <v>30</v>
      </c>
      <c r="K111" s="118" t="s">
        <v>328</v>
      </c>
      <c r="L111" s="116">
        <v>165</v>
      </c>
      <c r="M111" s="119">
        <f t="shared" ca="1" si="29"/>
        <v>8818.1409174655619</v>
      </c>
      <c r="N111" s="119">
        <v>0</v>
      </c>
      <c r="O111" s="119">
        <v>0</v>
      </c>
      <c r="P111" s="119" t="s">
        <v>327</v>
      </c>
      <c r="R111" s="144">
        <v>2024</v>
      </c>
      <c r="S111" s="145">
        <f ca="1">S107/SUM($S$107:$Z$107)*Summary!$K$43</f>
        <v>774839.14852085349</v>
      </c>
      <c r="T111" s="145">
        <f ca="1">T107/SUM($S$107:$Z$107)*Summary!$K$43</f>
        <v>507249.64177287236</v>
      </c>
      <c r="U111" s="145">
        <f ca="1">U107/SUM($S$107:$Z$107)*Summary!$K$43</f>
        <v>132901.57478104817</v>
      </c>
      <c r="V111" s="145">
        <f ca="1">V107/SUM($S$107:$Z$107)*Summary!$K$43</f>
        <v>151626.53205420924</v>
      </c>
      <c r="W111" s="145">
        <f ca="1">W107/SUM($S$107:$Z$107)*Summary!$K$43</f>
        <v>328842.94967979653</v>
      </c>
      <c r="X111" s="145">
        <f ca="1">X107/SUM($S$107:$Z$107)*Summary!$K$43</f>
        <v>47945.509581387392</v>
      </c>
      <c r="Y111" s="145">
        <f ca="1">Y107/SUM($S$107:$Z$107)*Summary!$K$43</f>
        <v>433982.04361111921</v>
      </c>
      <c r="Z111" s="145">
        <f ca="1">Z107/SUM($S$107:$Z$107)*Summary!$K$43</f>
        <v>293728.10124871408</v>
      </c>
      <c r="AA111" s="145"/>
      <c r="AB111" s="145">
        <f t="shared" ca="1" si="28"/>
        <v>2671115.5012500002</v>
      </c>
    </row>
    <row r="112" spans="8:28">
      <c r="H112" s="116">
        <v>2021</v>
      </c>
      <c r="I112" s="116" t="s">
        <v>352</v>
      </c>
      <c r="J112" s="116" t="s">
        <v>30</v>
      </c>
      <c r="K112" s="118" t="s">
        <v>329</v>
      </c>
      <c r="L112" s="116">
        <v>75</v>
      </c>
      <c r="M112" s="119">
        <f t="shared" ca="1" si="29"/>
        <v>0</v>
      </c>
      <c r="N112" s="119">
        <v>0</v>
      </c>
      <c r="O112" s="119">
        <v>0</v>
      </c>
      <c r="P112" s="119" t="s">
        <v>327</v>
      </c>
      <c r="R112" s="144">
        <v>2025</v>
      </c>
      <c r="S112" s="145">
        <f ca="1">S107/SUM($S$107:$Z$107)*Summary!$L$43</f>
        <v>813581.10594689613</v>
      </c>
      <c r="T112" s="145">
        <f ca="1">T107/SUM($S$107:$Z$107)*Summary!$L$43</f>
        <v>532612.12386151601</v>
      </c>
      <c r="U112" s="145">
        <f ca="1">U107/SUM($S$107:$Z$107)*Summary!$L$43</f>
        <v>139546.65352010058</v>
      </c>
      <c r="V112" s="145">
        <f ca="1">V107/SUM($S$107:$Z$107)*Summary!$L$43</f>
        <v>159207.85865691968</v>
      </c>
      <c r="W112" s="145">
        <f ca="1">W107/SUM($S$107:$Z$107)*Summary!$L$43</f>
        <v>345285.09716378635</v>
      </c>
      <c r="X112" s="145">
        <f ca="1">X107/SUM($S$107:$Z$107)*Summary!$L$43</f>
        <v>50342.785060456765</v>
      </c>
      <c r="Y112" s="145">
        <f ca="1">Y107/SUM($S$107:$Z$107)*Summary!$L$43</f>
        <v>455681.1457916752</v>
      </c>
      <c r="Z112" s="145">
        <f ca="1">Z107/SUM($S$107:$Z$107)*Summary!$L$43</f>
        <v>308414.5063111498</v>
      </c>
      <c r="AA112" s="145"/>
      <c r="AB112" s="145">
        <f t="shared" ca="1" si="28"/>
        <v>2804671.2763125007</v>
      </c>
    </row>
    <row r="113" spans="8:28">
      <c r="H113" s="116">
        <v>2021</v>
      </c>
      <c r="I113" s="116" t="s">
        <v>352</v>
      </c>
      <c r="J113" s="116" t="s">
        <v>30</v>
      </c>
      <c r="K113" s="118" t="s">
        <v>330</v>
      </c>
      <c r="L113" s="116">
        <v>15</v>
      </c>
      <c r="M113" s="119">
        <f t="shared" ca="1" si="29"/>
        <v>3332.5224217255272</v>
      </c>
      <c r="N113" s="119">
        <v>0</v>
      </c>
      <c r="O113" s="119">
        <v>0</v>
      </c>
      <c r="P113" s="119" t="s">
        <v>327</v>
      </c>
      <c r="R113" s="144"/>
      <c r="S113" s="145"/>
      <c r="T113" s="145"/>
      <c r="U113" s="145"/>
      <c r="V113" s="145"/>
      <c r="W113" s="145"/>
      <c r="X113" s="145"/>
      <c r="Y113" s="145"/>
      <c r="Z113" s="145"/>
      <c r="AA113" s="145"/>
      <c r="AB113" s="145"/>
    </row>
    <row r="114" spans="8:28">
      <c r="H114" s="116">
        <v>2021</v>
      </c>
      <c r="I114" s="116" t="s">
        <v>352</v>
      </c>
      <c r="J114" s="116" t="s">
        <v>278</v>
      </c>
      <c r="K114" s="118" t="s">
        <v>278</v>
      </c>
      <c r="L114" s="116">
        <v>100</v>
      </c>
      <c r="M114" s="119">
        <f t="shared" ca="1" si="29"/>
        <v>449529.22810368886</v>
      </c>
      <c r="N114" s="119">
        <f ca="1">Y108</f>
        <v>374890.00635881152</v>
      </c>
      <c r="O114" s="119">
        <f ca="1">Y116</f>
        <v>29643.704941987162</v>
      </c>
      <c r="P114" s="119" t="s">
        <v>327</v>
      </c>
      <c r="R114" s="144"/>
      <c r="S114" s="145"/>
      <c r="T114" s="145"/>
      <c r="U114" s="145"/>
      <c r="V114" s="145"/>
      <c r="W114" s="145"/>
      <c r="X114" s="145"/>
      <c r="Y114" s="145"/>
      <c r="Z114" s="145"/>
      <c r="AA114" s="145"/>
      <c r="AB114" s="145"/>
    </row>
    <row r="115" spans="8:28">
      <c r="H115" s="116">
        <v>2021</v>
      </c>
      <c r="I115" s="116" t="s">
        <v>352</v>
      </c>
      <c r="J115" s="116" t="s">
        <v>331</v>
      </c>
      <c r="K115" s="118" t="s">
        <v>332</v>
      </c>
      <c r="L115" s="116">
        <v>62.5</v>
      </c>
      <c r="M115" s="119">
        <f t="shared" ca="1" si="29"/>
        <v>6736.0798675084152</v>
      </c>
      <c r="N115" s="119">
        <v>0</v>
      </c>
      <c r="O115" s="119">
        <v>0</v>
      </c>
      <c r="P115" s="119" t="s">
        <v>327</v>
      </c>
      <c r="R115" s="144"/>
      <c r="S115" s="189" t="s">
        <v>353</v>
      </c>
      <c r="T115" s="189"/>
      <c r="U115" s="189"/>
      <c r="V115" s="189"/>
      <c r="W115" s="189"/>
      <c r="X115" s="189"/>
      <c r="Y115" s="189"/>
      <c r="Z115" s="189"/>
      <c r="AA115" s="145"/>
      <c r="AB115" s="145"/>
    </row>
    <row r="116" spans="8:28">
      <c r="H116" s="116">
        <v>2021</v>
      </c>
      <c r="I116" s="116" t="s">
        <v>352</v>
      </c>
      <c r="J116" s="116" t="s">
        <v>331</v>
      </c>
      <c r="K116" s="118" t="s">
        <v>333</v>
      </c>
      <c r="L116" s="116">
        <v>1</v>
      </c>
      <c r="M116" s="119">
        <f t="shared" ca="1" si="29"/>
        <v>2652.7907260042234</v>
      </c>
      <c r="N116" s="119">
        <v>0</v>
      </c>
      <c r="O116" s="119">
        <v>0</v>
      </c>
      <c r="P116" s="119" t="s">
        <v>327</v>
      </c>
      <c r="R116" s="144">
        <v>2021</v>
      </c>
      <c r="S116" s="145">
        <f ca="1">S107/SUM($S$107:$Z$107)*(Summary!$H$43-Summary!$H$38)</f>
        <v>52926.390467977064</v>
      </c>
      <c r="T116" s="145">
        <f ca="1">T107/SUM($S$107:$Z$107)*(Summary!$H$43-Summary!$H$38)</f>
        <v>34648.34302250023</v>
      </c>
      <c r="U116" s="145">
        <f ca="1">U107/SUM($S$107:$Z$107)*(Summary!$H$43-Summary!$H$38)</f>
        <v>9078.0140034206088</v>
      </c>
      <c r="V116" s="145">
        <f ca="1">V107/SUM($S$107:$Z$107)*(Summary!$H$43-Summary!$H$38)</f>
        <v>10357.046434896723</v>
      </c>
      <c r="W116" s="145">
        <f ca="1">W107/SUM($S$107:$Z$107)*(Summary!$H$43-Summary!$H$38)</f>
        <v>22462.043110004055</v>
      </c>
      <c r="X116" s="145">
        <f ca="1">X107/SUM($S$107:$Z$107)*(Summary!$H$43-Summary!$H$38)</f>
        <v>3274.9800602290425</v>
      </c>
      <c r="Y116" s="145">
        <f ca="1">Y107/SUM($S$107:$Z$107)*(Summary!$H$43-Summary!$H$38)</f>
        <v>29643.704941987162</v>
      </c>
      <c r="Z116" s="145">
        <f ca="1">Z107/SUM($S$107:$Z$107)*(Summary!$H$43-Summary!$H$38)</f>
        <v>20063.477958985124</v>
      </c>
      <c r="AA116" s="145"/>
      <c r="AB116" s="145">
        <f ca="1">SUM(S116:Z116)</f>
        <v>182454</v>
      </c>
    </row>
    <row r="117" spans="8:28">
      <c r="H117" s="116">
        <v>2021</v>
      </c>
      <c r="I117" s="116" t="s">
        <v>352</v>
      </c>
      <c r="J117" s="116" t="s">
        <v>331</v>
      </c>
      <c r="K117" s="118" t="s">
        <v>334</v>
      </c>
      <c r="L117" s="116">
        <v>1</v>
      </c>
      <c r="M117" s="119">
        <f t="shared" ca="1" si="29"/>
        <v>857.31925586470743</v>
      </c>
      <c r="N117" s="119">
        <v>0</v>
      </c>
      <c r="O117" s="119">
        <v>0</v>
      </c>
      <c r="P117" s="119" t="s">
        <v>327</v>
      </c>
      <c r="R117" s="144">
        <v>2022</v>
      </c>
      <c r="S117" s="145">
        <f ca="1">S107/SUM($S$107:$Z$107)*(Summary!$I$43-Summary!$I$38)</f>
        <v>73775.090476186684</v>
      </c>
      <c r="T117" s="145">
        <f ca="1">T107/SUM($S$107:$Z$107)*(Summary!$I$43-Summary!$I$38)</f>
        <v>48296.9765882961</v>
      </c>
      <c r="U117" s="145">
        <f ca="1">U107/SUM($S$107:$Z$107)*(Summary!$I$43-Summary!$I$38)</f>
        <v>12654.014349451318</v>
      </c>
      <c r="V117" s="145">
        <f ca="1">V107/SUM($S$107:$Z$107)*(Summary!$I$43-Summary!$I$38)</f>
        <v>14436.881696341712</v>
      </c>
      <c r="W117" s="145">
        <f ca="1">W107/SUM($S$107:$Z$107)*(Summary!$I$43-Summary!$I$38)</f>
        <v>31310.264086934127</v>
      </c>
      <c r="X117" s="145">
        <f ca="1">X107/SUM($S$107:$Z$107)*(Summary!$I$43-Summary!$I$38)</f>
        <v>4565.056262381835</v>
      </c>
      <c r="Y117" s="145">
        <f ca="1">Y107/SUM($S$107:$Z$107)*(Summary!$I$43-Summary!$I$38)</f>
        <v>41320.917500839256</v>
      </c>
      <c r="Z117" s="145">
        <f ca="1">Z107/SUM($S$107:$Z$107)*(Summary!$I$43-Summary!$I$38)</f>
        <v>27966.859039569037</v>
      </c>
      <c r="AA117" s="145"/>
      <c r="AB117" s="145">
        <f t="shared" ca="1" si="28"/>
        <v>254326.06000000006</v>
      </c>
    </row>
    <row r="118" spans="8:28">
      <c r="H118" s="116">
        <v>2021</v>
      </c>
      <c r="I118" s="116" t="s">
        <v>352</v>
      </c>
      <c r="J118" s="116" t="s">
        <v>331</v>
      </c>
      <c r="K118" s="118" t="s">
        <v>335</v>
      </c>
      <c r="L118" s="116">
        <v>2</v>
      </c>
      <c r="M118" s="119">
        <f t="shared" ca="1" si="29"/>
        <v>612.37089704621962</v>
      </c>
      <c r="N118" s="119">
        <v>0</v>
      </c>
      <c r="O118" s="119">
        <v>0</v>
      </c>
      <c r="P118" s="119" t="s">
        <v>327</v>
      </c>
      <c r="R118" s="144">
        <v>2023</v>
      </c>
      <c r="S118" s="145">
        <f ca="1">S107/SUM($S$107:$Z$107)*(Summary!$J$43-Summary!$J$38)</f>
        <v>65330.722558508372</v>
      </c>
      <c r="T118" s="145">
        <f ca="1">T107/SUM($S$107:$Z$107)*(Summary!$J$43-Summary!$J$38)</f>
        <v>42768.858127299958</v>
      </c>
      <c r="U118" s="145">
        <f ca="1">U107/SUM($S$107:$Z$107)*(Summary!$J$43-Summary!$J$38)</f>
        <v>11205.62367839089</v>
      </c>
      <c r="V118" s="145">
        <f ca="1">V107/SUM($S$107:$Z$107)*(Summary!$J$43-Summary!$J$38)</f>
        <v>12784.42231145955</v>
      </c>
      <c r="W118" s="145">
        <f ca="1">W107/SUM($S$107:$Z$107)*(Summary!$J$43-Summary!$J$38)</f>
        <v>27726.46110081533</v>
      </c>
      <c r="X118" s="145">
        <f ca="1">X107/SUM($S$107:$Z$107)*(Summary!$J$43-Summary!$J$38)</f>
        <v>4042.5355254279898</v>
      </c>
      <c r="Y118" s="145">
        <f ca="1">Y107/SUM($S$107:$Z$107)*(Summary!$J$43-Summary!$J$38)</f>
        <v>36591.285482485473</v>
      </c>
      <c r="Z118" s="145">
        <f ca="1">Z107/SUM($S$107:$Z$107)*(Summary!$J$43-Summary!$J$38)</f>
        <v>24765.745415612211</v>
      </c>
      <c r="AA118" s="145"/>
      <c r="AB118" s="145">
        <f t="shared" ca="1" si="28"/>
        <v>225215.65419999979</v>
      </c>
    </row>
    <row r="119" spans="8:28">
      <c r="H119" s="116">
        <v>2021</v>
      </c>
      <c r="I119" s="116" t="s">
        <v>352</v>
      </c>
      <c r="J119" s="116" t="s">
        <v>331</v>
      </c>
      <c r="K119" s="118" t="s">
        <v>336</v>
      </c>
      <c r="L119" s="116">
        <v>2</v>
      </c>
      <c r="M119" s="119">
        <f t="shared" ca="1" si="29"/>
        <v>10638.597120204564</v>
      </c>
      <c r="N119" s="119">
        <v>0</v>
      </c>
      <c r="O119" s="119">
        <v>0</v>
      </c>
      <c r="P119" s="119" t="s">
        <v>327</v>
      </c>
      <c r="R119" s="144">
        <v>2024</v>
      </c>
      <c r="S119" s="145">
        <f ca="1">S107/SUM($S$107:$Z$107)*(Summary!$K$43-Summary!$K$38)</f>
        <v>114726.3587104191</v>
      </c>
      <c r="T119" s="145">
        <f ca="1">T107/SUM($S$107:$Z$107)*(Summary!$K$43-Summary!$K$38)</f>
        <v>75105.787399692708</v>
      </c>
      <c r="U119" s="145">
        <f ca="1">U107/SUM($S$107:$Z$107)*(Summary!$K$43-Summary!$K$38)</f>
        <v>19678.037397331849</v>
      </c>
      <c r="V119" s="145">
        <f ca="1">V107/SUM($S$107:$Z$107)*(Summary!$K$43-Summary!$K$38)</f>
        <v>22450.54336719526</v>
      </c>
      <c r="W119" s="145">
        <f ca="1">W107/SUM($S$107:$Z$107)*(Summary!$K$43-Summary!$K$38)</f>
        <v>48690.046542403477</v>
      </c>
      <c r="X119" s="145">
        <f ca="1">X107/SUM($S$107:$Z$107)*(Summary!$K$43-Summary!$K$38)</f>
        <v>7099.0395119923996</v>
      </c>
      <c r="Y119" s="145">
        <f ca="1">Y107/SUM($S$107:$Z$107)*(Summary!$K$43-Summary!$K$38)</f>
        <v>64257.43937210217</v>
      </c>
      <c r="Z119" s="145">
        <f ca="1">Z107/SUM($S$107:$Z$107)*(Summary!$K$43-Summary!$K$38)</f>
        <v>43490.775564863368</v>
      </c>
      <c r="AA119" s="145"/>
      <c r="AB119" s="145">
        <f t="shared" ca="1" si="28"/>
        <v>395498.02786600031</v>
      </c>
    </row>
    <row r="120" spans="8:28">
      <c r="H120" s="116">
        <v>2021</v>
      </c>
      <c r="I120" s="116" t="s">
        <v>352</v>
      </c>
      <c r="J120" s="116" t="s">
        <v>331</v>
      </c>
      <c r="K120" s="118" t="s">
        <v>337</v>
      </c>
      <c r="L120" s="116">
        <v>1</v>
      </c>
      <c r="M120" s="119">
        <f t="shared" ca="1" si="29"/>
        <v>136.92613257953471</v>
      </c>
      <c r="N120" s="119">
        <v>0</v>
      </c>
      <c r="O120" s="119">
        <v>0</v>
      </c>
      <c r="P120" s="119" t="s">
        <v>327</v>
      </c>
      <c r="R120" s="144">
        <v>2025</v>
      </c>
      <c r="S120" s="145">
        <f ca="1">S107/SUM($S$107:$Z$107)*(Summary!$L$43-Summary!$L$38)</f>
        <v>120608.21015081136</v>
      </c>
      <c r="T120" s="145">
        <f ca="1">T107/SUM($S$107:$Z$107)*(Summary!$L$43-Summary!$L$38)</f>
        <v>78956.350502751942</v>
      </c>
      <c r="U120" s="145">
        <f ca="1">U107/SUM($S$107:$Z$107)*(Summary!$L$43-Summary!$L$38)</f>
        <v>20686.901392586304</v>
      </c>
      <c r="V120" s="145">
        <f ca="1">V107/SUM($S$107:$Z$107)*(Summary!$L$43-Summary!$L$38)</f>
        <v>23601.549660136498</v>
      </c>
      <c r="W120" s="145">
        <f ca="1">W107/SUM($S$107:$Z$107)*(Summary!$L$43-Summary!$L$38)</f>
        <v>51186.313517206305</v>
      </c>
      <c r="X120" s="145">
        <f ca="1">X107/SUM($S$107:$Z$107)*(Summary!$L$43-Summary!$L$38)</f>
        <v>7462.9968122010569</v>
      </c>
      <c r="Y120" s="145">
        <f ca="1">Y107/SUM($S$107:$Z$107)*(Summary!$L$43-Summary!$L$38)</f>
        <v>67551.82364939549</v>
      </c>
      <c r="Z120" s="145">
        <f ca="1">Z107/SUM($S$107:$Z$107)*(Summary!$L$43-Summary!$L$38)</f>
        <v>45720.483574211503</v>
      </c>
      <c r="AA120" s="145"/>
      <c r="AB120" s="145">
        <f t="shared" ca="1" si="28"/>
        <v>415774.62925930042</v>
      </c>
    </row>
    <row r="121" spans="8:28">
      <c r="H121" s="116">
        <v>2021</v>
      </c>
      <c r="I121" s="116" t="s">
        <v>352</v>
      </c>
      <c r="J121" s="116" t="s">
        <v>331</v>
      </c>
      <c r="K121" s="118" t="s">
        <v>338</v>
      </c>
      <c r="L121" s="116">
        <v>4</v>
      </c>
      <c r="M121" s="119">
        <f t="shared" ca="1" si="29"/>
        <v>979.79343527395133</v>
      </c>
      <c r="N121" s="119">
        <v>0</v>
      </c>
      <c r="O121" s="119">
        <v>0</v>
      </c>
      <c r="P121" s="119" t="s">
        <v>327</v>
      </c>
    </row>
    <row r="122" spans="8:28">
      <c r="H122" s="116">
        <v>2021</v>
      </c>
      <c r="I122" s="116" t="s">
        <v>352</v>
      </c>
      <c r="J122" s="116" t="s">
        <v>331</v>
      </c>
      <c r="K122" s="118" t="s">
        <v>341</v>
      </c>
      <c r="L122" s="116">
        <v>5</v>
      </c>
      <c r="M122" s="119">
        <f t="shared" ca="1" si="29"/>
        <v>146.96901529109272</v>
      </c>
      <c r="N122" s="119">
        <v>0</v>
      </c>
      <c r="O122" s="119">
        <v>0</v>
      </c>
      <c r="P122" s="119" t="s">
        <v>327</v>
      </c>
    </row>
    <row r="123" spans="8:28">
      <c r="H123" s="116">
        <v>2021</v>
      </c>
      <c r="I123" s="116" t="s">
        <v>352</v>
      </c>
      <c r="J123" s="116" t="s">
        <v>331</v>
      </c>
      <c r="K123" s="118" t="s">
        <v>342</v>
      </c>
      <c r="L123" s="116">
        <v>1</v>
      </c>
      <c r="M123" s="119">
        <f t="shared" ca="1" si="29"/>
        <v>4616.7866670108588</v>
      </c>
      <c r="N123" s="119">
        <v>0</v>
      </c>
      <c r="O123" s="119">
        <v>0</v>
      </c>
      <c r="P123" s="119" t="s">
        <v>327</v>
      </c>
    </row>
    <row r="124" spans="8:28">
      <c r="H124" s="116">
        <v>2021</v>
      </c>
      <c r="I124" s="116" t="s">
        <v>352</v>
      </c>
      <c r="J124" s="116" t="s">
        <v>343</v>
      </c>
      <c r="K124" s="118" t="s">
        <v>289</v>
      </c>
      <c r="L124" s="116">
        <v>2</v>
      </c>
      <c r="M124" s="119">
        <f t="shared" ca="1" si="29"/>
        <v>19191.214016710885</v>
      </c>
      <c r="N124" s="119">
        <v>0</v>
      </c>
      <c r="O124" s="119">
        <v>0</v>
      </c>
      <c r="P124" s="119" t="s">
        <v>327</v>
      </c>
    </row>
    <row r="125" spans="8:28">
      <c r="H125" s="116">
        <v>2021</v>
      </c>
      <c r="I125" s="116" t="s">
        <v>352</v>
      </c>
      <c r="J125" s="116" t="s">
        <v>344</v>
      </c>
      <c r="K125" s="118" t="s">
        <v>291</v>
      </c>
      <c r="L125" s="116">
        <v>2</v>
      </c>
      <c r="M125" s="119">
        <f t="shared" ca="1" si="29"/>
        <v>2006.6169554410524</v>
      </c>
      <c r="N125" s="119">
        <v>0</v>
      </c>
      <c r="O125" s="119">
        <v>0</v>
      </c>
      <c r="P125" s="119" t="s">
        <v>345</v>
      </c>
    </row>
    <row r="126" spans="8:28">
      <c r="H126" s="116">
        <v>2021</v>
      </c>
      <c r="I126" s="116" t="s">
        <v>352</v>
      </c>
      <c r="J126" s="116" t="s">
        <v>344</v>
      </c>
      <c r="K126" s="118" t="s">
        <v>292</v>
      </c>
      <c r="L126" s="116">
        <v>3</v>
      </c>
      <c r="M126" s="119">
        <f t="shared" ca="1" si="29"/>
        <v>451.19487694365461</v>
      </c>
      <c r="N126" s="119">
        <v>0</v>
      </c>
      <c r="O126" s="119">
        <v>0</v>
      </c>
      <c r="P126" s="119" t="s">
        <v>345</v>
      </c>
    </row>
    <row r="127" spans="8:28">
      <c r="H127" s="116">
        <v>2021</v>
      </c>
      <c r="I127" s="116" t="s">
        <v>352</v>
      </c>
      <c r="J127" s="116" t="s">
        <v>295</v>
      </c>
      <c r="K127" s="118" t="s">
        <v>295</v>
      </c>
      <c r="L127" s="116">
        <v>2</v>
      </c>
      <c r="M127" s="119">
        <f t="shared" ca="1" si="29"/>
        <v>9797.934352739514</v>
      </c>
      <c r="N127" s="119">
        <v>0</v>
      </c>
      <c r="O127" s="119">
        <v>0</v>
      </c>
      <c r="P127" s="119" t="s">
        <v>327</v>
      </c>
    </row>
    <row r="128" spans="8:28">
      <c r="H128" s="116">
        <v>2021</v>
      </c>
      <c r="I128" s="116" t="s">
        <v>354</v>
      </c>
      <c r="J128" s="116" t="s">
        <v>30</v>
      </c>
      <c r="K128" s="118" t="s">
        <v>31</v>
      </c>
      <c r="L128" s="116">
        <v>255</v>
      </c>
      <c r="M128" s="119">
        <f t="shared" ref="M128:M145" ca="1" si="30">Z14</f>
        <v>0</v>
      </c>
      <c r="N128" s="119">
        <v>0</v>
      </c>
      <c r="O128" s="119">
        <v>0</v>
      </c>
      <c r="P128" s="119" t="s">
        <v>327</v>
      </c>
    </row>
    <row r="129" spans="8:16">
      <c r="H129" s="116">
        <v>2021</v>
      </c>
      <c r="I129" s="116" t="s">
        <v>354</v>
      </c>
      <c r="J129" s="116" t="s">
        <v>30</v>
      </c>
      <c r="K129" s="118" t="s">
        <v>328</v>
      </c>
      <c r="L129" s="116">
        <v>165</v>
      </c>
      <c r="M129" s="119">
        <f t="shared" ca="1" si="30"/>
        <v>2026.2382163925436</v>
      </c>
      <c r="N129" s="119">
        <v>0</v>
      </c>
      <c r="O129" s="119">
        <v>0</v>
      </c>
      <c r="P129" s="119" t="s">
        <v>327</v>
      </c>
    </row>
    <row r="130" spans="8:16">
      <c r="H130" s="116">
        <v>2021</v>
      </c>
      <c r="I130" s="116" t="s">
        <v>354</v>
      </c>
      <c r="J130" s="116" t="s">
        <v>30</v>
      </c>
      <c r="K130" s="118" t="s">
        <v>329</v>
      </c>
      <c r="L130" s="116">
        <v>75</v>
      </c>
      <c r="M130" s="119">
        <f t="shared" ca="1" si="30"/>
        <v>0</v>
      </c>
      <c r="N130" s="119">
        <v>0</v>
      </c>
      <c r="O130" s="119">
        <v>0</v>
      </c>
      <c r="P130" s="119" t="s">
        <v>327</v>
      </c>
    </row>
    <row r="131" spans="8:16">
      <c r="H131" s="116">
        <v>2021</v>
      </c>
      <c r="I131" s="116" t="s">
        <v>354</v>
      </c>
      <c r="J131" s="116" t="s">
        <v>30</v>
      </c>
      <c r="K131" s="118" t="s">
        <v>330</v>
      </c>
      <c r="L131" s="116">
        <v>15</v>
      </c>
      <c r="M131" s="119">
        <f t="shared" ca="1" si="30"/>
        <v>765.74919261168202</v>
      </c>
      <c r="N131" s="119">
        <v>0</v>
      </c>
      <c r="O131" s="119">
        <v>0</v>
      </c>
      <c r="P131" s="119" t="s">
        <v>327</v>
      </c>
    </row>
    <row r="132" spans="8:16">
      <c r="H132" s="116">
        <v>2021</v>
      </c>
      <c r="I132" s="116" t="s">
        <v>354</v>
      </c>
      <c r="J132" s="116" t="s">
        <v>278</v>
      </c>
      <c r="K132" s="118" t="s">
        <v>278</v>
      </c>
      <c r="L132" s="116">
        <v>100</v>
      </c>
      <c r="M132" s="119">
        <f t="shared" ca="1" si="30"/>
        <v>103293.12152009988</v>
      </c>
      <c r="N132" s="119">
        <f ca="1">Z108</f>
        <v>253733.37760389943</v>
      </c>
      <c r="O132" s="119">
        <f ca="1">Z116</f>
        <v>20063.477958985124</v>
      </c>
      <c r="P132" s="119" t="s">
        <v>327</v>
      </c>
    </row>
    <row r="133" spans="8:16">
      <c r="H133" s="116">
        <v>2021</v>
      </c>
      <c r="I133" s="116" t="s">
        <v>354</v>
      </c>
      <c r="J133" s="116" t="s">
        <v>331</v>
      </c>
      <c r="K133" s="118" t="s">
        <v>332</v>
      </c>
      <c r="L133" s="116">
        <v>62.5</v>
      </c>
      <c r="M133" s="119">
        <f t="shared" ca="1" si="30"/>
        <v>1547.820859744304</v>
      </c>
      <c r="N133" s="119">
        <v>0</v>
      </c>
      <c r="O133" s="119">
        <v>0</v>
      </c>
      <c r="P133" s="119" t="s">
        <v>327</v>
      </c>
    </row>
    <row r="134" spans="8:16">
      <c r="H134" s="116">
        <v>2021</v>
      </c>
      <c r="I134" s="116" t="s">
        <v>354</v>
      </c>
      <c r="J134" s="116" t="s">
        <v>331</v>
      </c>
      <c r="K134" s="118" t="s">
        <v>333</v>
      </c>
      <c r="L134" s="116">
        <v>1</v>
      </c>
      <c r="M134" s="119">
        <f t="shared" ca="1" si="30"/>
        <v>609.55999676475687</v>
      </c>
      <c r="N134" s="119">
        <v>0</v>
      </c>
      <c r="O134" s="119">
        <v>0</v>
      </c>
      <c r="P134" s="119" t="s">
        <v>327</v>
      </c>
    </row>
    <row r="135" spans="8:16">
      <c r="H135" s="116">
        <v>2021</v>
      </c>
      <c r="I135" s="116" t="s">
        <v>354</v>
      </c>
      <c r="J135" s="116" t="s">
        <v>331</v>
      </c>
      <c r="K135" s="118" t="s">
        <v>334</v>
      </c>
      <c r="L135" s="116">
        <v>1</v>
      </c>
      <c r="M135" s="119">
        <f t="shared" ca="1" si="30"/>
        <v>196.99538214927506</v>
      </c>
      <c r="N135" s="119">
        <v>0</v>
      </c>
      <c r="O135" s="119">
        <v>0</v>
      </c>
      <c r="P135" s="119" t="s">
        <v>327</v>
      </c>
    </row>
    <row r="136" spans="8:16">
      <c r="H136" s="116">
        <v>2021</v>
      </c>
      <c r="I136" s="116" t="s">
        <v>354</v>
      </c>
      <c r="J136" s="116" t="s">
        <v>331</v>
      </c>
      <c r="K136" s="118" t="s">
        <v>335</v>
      </c>
      <c r="L136" s="116">
        <v>2</v>
      </c>
      <c r="M136" s="119">
        <f t="shared" ca="1" si="30"/>
        <v>140.71098724948217</v>
      </c>
      <c r="N136" s="119">
        <v>0</v>
      </c>
      <c r="O136" s="119">
        <v>0</v>
      </c>
      <c r="P136" s="119" t="s">
        <v>327</v>
      </c>
    </row>
    <row r="137" spans="8:16">
      <c r="H137" s="116">
        <v>2021</v>
      </c>
      <c r="I137" s="116" t="s">
        <v>354</v>
      </c>
      <c r="J137" s="116" t="s">
        <v>331</v>
      </c>
      <c r="K137" s="118" t="s">
        <v>336</v>
      </c>
      <c r="L137" s="116">
        <v>2</v>
      </c>
      <c r="M137" s="119">
        <f t="shared" ca="1" si="30"/>
        <v>2444.5438392878041</v>
      </c>
      <c r="N137" s="119">
        <v>0</v>
      </c>
      <c r="O137" s="119">
        <v>0</v>
      </c>
      <c r="P137" s="119" t="s">
        <v>327</v>
      </c>
    </row>
    <row r="138" spans="8:16">
      <c r="H138" s="116">
        <v>2021</v>
      </c>
      <c r="I138" s="116" t="s">
        <v>354</v>
      </c>
      <c r="J138" s="116" t="s">
        <v>331</v>
      </c>
      <c r="K138" s="118" t="s">
        <v>337</v>
      </c>
      <c r="L138" s="116">
        <v>1</v>
      </c>
      <c r="M138" s="119">
        <f t="shared" ca="1" si="30"/>
        <v>31.462976748984218</v>
      </c>
      <c r="N138" s="119">
        <v>0</v>
      </c>
      <c r="O138" s="119">
        <v>0</v>
      </c>
      <c r="P138" s="119" t="s">
        <v>327</v>
      </c>
    </row>
    <row r="139" spans="8:16">
      <c r="H139" s="116">
        <v>2021</v>
      </c>
      <c r="I139" s="116" t="s">
        <v>354</v>
      </c>
      <c r="J139" s="116" t="s">
        <v>331</v>
      </c>
      <c r="K139" s="118" t="s">
        <v>338</v>
      </c>
      <c r="L139" s="116">
        <v>4</v>
      </c>
      <c r="M139" s="119">
        <f t="shared" ca="1" si="30"/>
        <v>225.13757959917149</v>
      </c>
      <c r="N139" s="119">
        <v>0</v>
      </c>
      <c r="O139" s="119">
        <v>0</v>
      </c>
      <c r="P139" s="119" t="s">
        <v>327</v>
      </c>
    </row>
    <row r="140" spans="8:16">
      <c r="H140" s="116">
        <v>2021</v>
      </c>
      <c r="I140" s="116" t="s">
        <v>354</v>
      </c>
      <c r="J140" s="116" t="s">
        <v>331</v>
      </c>
      <c r="K140" s="118" t="s">
        <v>341</v>
      </c>
      <c r="L140" s="116">
        <v>5</v>
      </c>
      <c r="M140" s="119">
        <f t="shared" ca="1" si="30"/>
        <v>33.770636939875722</v>
      </c>
      <c r="N140" s="119">
        <v>0</v>
      </c>
      <c r="O140" s="119">
        <v>0</v>
      </c>
      <c r="P140" s="119" t="s">
        <v>327</v>
      </c>
    </row>
    <row r="141" spans="8:16">
      <c r="H141" s="116">
        <v>2021</v>
      </c>
      <c r="I141" s="116" t="s">
        <v>354</v>
      </c>
      <c r="J141" s="116" t="s">
        <v>331</v>
      </c>
      <c r="K141" s="118" t="s">
        <v>342</v>
      </c>
      <c r="L141" s="116">
        <v>1</v>
      </c>
      <c r="M141" s="119">
        <f t="shared" ca="1" si="30"/>
        <v>1060.848275071296</v>
      </c>
      <c r="N141" s="119">
        <v>0</v>
      </c>
      <c r="O141" s="119">
        <v>0</v>
      </c>
      <c r="P141" s="119" t="s">
        <v>327</v>
      </c>
    </row>
    <row r="142" spans="8:16">
      <c r="H142" s="116">
        <v>2021</v>
      </c>
      <c r="I142" s="116" t="s">
        <v>354</v>
      </c>
      <c r="J142" s="116" t="s">
        <v>343</v>
      </c>
      <c r="K142" s="118" t="s">
        <v>289</v>
      </c>
      <c r="L142" s="116">
        <v>2</v>
      </c>
      <c r="M142" s="119">
        <f t="shared" ca="1" si="30"/>
        <v>4409.7697716089724</v>
      </c>
      <c r="N142" s="119">
        <v>0</v>
      </c>
      <c r="O142" s="119">
        <v>0</v>
      </c>
      <c r="P142" s="119" t="s">
        <v>327</v>
      </c>
    </row>
    <row r="143" spans="8:16">
      <c r="H143" s="116">
        <v>2021</v>
      </c>
      <c r="I143" s="116" t="s">
        <v>354</v>
      </c>
      <c r="J143" s="116" t="s">
        <v>344</v>
      </c>
      <c r="K143" s="118" t="s">
        <v>291</v>
      </c>
      <c r="L143" s="116">
        <v>2</v>
      </c>
      <c r="M143" s="119">
        <f t="shared" ca="1" si="30"/>
        <v>461.08176301910322</v>
      </c>
      <c r="N143" s="119">
        <v>0</v>
      </c>
      <c r="O143" s="119">
        <v>0</v>
      </c>
      <c r="P143" s="119" t="s">
        <v>345</v>
      </c>
    </row>
    <row r="144" spans="8:16">
      <c r="H144" s="116">
        <v>2021</v>
      </c>
      <c r="I144" s="116" t="s">
        <v>354</v>
      </c>
      <c r="J144" s="116" t="s">
        <v>344</v>
      </c>
      <c r="K144" s="118" t="s">
        <v>292</v>
      </c>
      <c r="L144" s="116">
        <v>3</v>
      </c>
      <c r="M144" s="119">
        <f t="shared" ca="1" si="30"/>
        <v>103.67585540541847</v>
      </c>
      <c r="N144" s="119">
        <v>0</v>
      </c>
      <c r="O144" s="119">
        <v>0</v>
      </c>
      <c r="P144" s="119" t="s">
        <v>345</v>
      </c>
    </row>
    <row r="145" spans="8:16">
      <c r="H145" s="116">
        <v>2021</v>
      </c>
      <c r="I145" s="116" t="s">
        <v>354</v>
      </c>
      <c r="J145" s="116" t="s">
        <v>295</v>
      </c>
      <c r="K145" s="118" t="s">
        <v>295</v>
      </c>
      <c r="L145" s="116">
        <v>2</v>
      </c>
      <c r="M145" s="119">
        <f t="shared" ca="1" si="30"/>
        <v>2251.3757959917148</v>
      </c>
      <c r="N145" s="119">
        <v>0</v>
      </c>
      <c r="O145" s="119">
        <v>0</v>
      </c>
      <c r="P145" s="119" t="s">
        <v>327</v>
      </c>
    </row>
    <row r="146" spans="8:16">
      <c r="H146" s="116">
        <v>2022</v>
      </c>
      <c r="I146" s="116" t="s">
        <v>326</v>
      </c>
      <c r="J146" s="116" t="s">
        <v>30</v>
      </c>
      <c r="K146" s="118" t="s">
        <v>31</v>
      </c>
      <c r="L146" s="116">
        <v>255</v>
      </c>
      <c r="M146" s="119">
        <f t="shared" ref="M146:M163" ca="1" si="31">S32</f>
        <v>0</v>
      </c>
      <c r="N146" s="119">
        <v>0</v>
      </c>
      <c r="O146" s="119">
        <v>0</v>
      </c>
      <c r="P146" s="119" t="s">
        <v>327</v>
      </c>
    </row>
    <row r="147" spans="8:16">
      <c r="H147" s="116">
        <v>2022</v>
      </c>
      <c r="I147" s="116" t="s">
        <v>326</v>
      </c>
      <c r="J147" s="116" t="s">
        <v>30</v>
      </c>
      <c r="K147" s="118" t="s">
        <v>328</v>
      </c>
      <c r="L147" s="116">
        <v>165</v>
      </c>
      <c r="M147" s="119">
        <f t="shared" ca="1" si="31"/>
        <v>6765.175675701913</v>
      </c>
      <c r="N147" s="119">
        <v>0</v>
      </c>
      <c r="O147" s="119">
        <v>0</v>
      </c>
      <c r="P147" s="119" t="s">
        <v>327</v>
      </c>
    </row>
    <row r="148" spans="8:16">
      <c r="H148" s="116">
        <v>2022</v>
      </c>
      <c r="I148" s="116" t="s">
        <v>326</v>
      </c>
      <c r="J148" s="116" t="s">
        <v>30</v>
      </c>
      <c r="K148" s="118" t="s">
        <v>329</v>
      </c>
      <c r="L148" s="116">
        <v>75</v>
      </c>
      <c r="M148" s="119">
        <f t="shared" ca="1" si="31"/>
        <v>0</v>
      </c>
      <c r="N148" s="119">
        <v>0</v>
      </c>
      <c r="O148" s="119">
        <v>0</v>
      </c>
      <c r="P148" s="119" t="s">
        <v>327</v>
      </c>
    </row>
    <row r="149" spans="8:16">
      <c r="H149" s="116">
        <v>2022</v>
      </c>
      <c r="I149" s="116" t="s">
        <v>326</v>
      </c>
      <c r="J149" s="116" t="s">
        <v>30</v>
      </c>
      <c r="K149" s="118" t="s">
        <v>330</v>
      </c>
      <c r="L149" s="116">
        <v>15</v>
      </c>
      <c r="M149" s="119">
        <f t="shared" ca="1" si="31"/>
        <v>2556.6726407756814</v>
      </c>
      <c r="N149" s="119">
        <v>0</v>
      </c>
      <c r="O149" s="119">
        <v>0</v>
      </c>
      <c r="P149" s="119" t="s">
        <v>327</v>
      </c>
    </row>
    <row r="150" spans="8:16">
      <c r="H150" s="116">
        <v>2022</v>
      </c>
      <c r="I150" s="116" t="s">
        <v>326</v>
      </c>
      <c r="J150" s="116" t="s">
        <v>278</v>
      </c>
      <c r="K150" s="118" t="s">
        <v>278</v>
      </c>
      <c r="L150" s="116">
        <v>50</v>
      </c>
      <c r="M150" s="119">
        <f t="shared" ca="1" si="31"/>
        <v>344873.62222355977</v>
      </c>
      <c r="N150" s="119">
        <f ca="1">S109</f>
        <v>702801.94877174916</v>
      </c>
      <c r="O150" s="119">
        <f ca="1">S117</f>
        <v>73775.090476186684</v>
      </c>
      <c r="P150" s="119" t="s">
        <v>327</v>
      </c>
    </row>
    <row r="151" spans="8:16">
      <c r="H151" s="116">
        <v>2022</v>
      </c>
      <c r="I151" s="116" t="s">
        <v>326</v>
      </c>
      <c r="J151" s="116" t="s">
        <v>331</v>
      </c>
      <c r="K151" s="118" t="s">
        <v>332</v>
      </c>
      <c r="L151" s="116">
        <v>62.5</v>
      </c>
      <c r="M151" s="119">
        <f t="shared" ca="1" si="31"/>
        <v>5167.8425300500721</v>
      </c>
      <c r="N151" s="119">
        <v>0</v>
      </c>
      <c r="O151" s="119">
        <v>0</v>
      </c>
      <c r="P151" s="119" t="s">
        <v>327</v>
      </c>
    </row>
    <row r="152" spans="8:16">
      <c r="H152" s="116">
        <v>2022</v>
      </c>
      <c r="I152" s="116" t="s">
        <v>326</v>
      </c>
      <c r="J152" s="116" t="s">
        <v>331</v>
      </c>
      <c r="K152" s="118" t="s">
        <v>333</v>
      </c>
      <c r="L152" s="116">
        <v>1</v>
      </c>
      <c r="M152" s="119">
        <f t="shared" ca="1" si="31"/>
        <v>2035.1903491069922</v>
      </c>
      <c r="N152" s="119">
        <v>0</v>
      </c>
      <c r="O152" s="119">
        <v>0</v>
      </c>
      <c r="P152" s="119" t="s">
        <v>327</v>
      </c>
    </row>
    <row r="153" spans="8:16">
      <c r="H153" s="116">
        <v>2022</v>
      </c>
      <c r="I153" s="116" t="s">
        <v>326</v>
      </c>
      <c r="J153" s="116" t="s">
        <v>331</v>
      </c>
      <c r="K153" s="118" t="s">
        <v>334</v>
      </c>
      <c r="L153" s="116">
        <v>1</v>
      </c>
      <c r="M153" s="119">
        <f t="shared" ca="1" si="31"/>
        <v>657.72541291546383</v>
      </c>
      <c r="N153" s="119">
        <v>0</v>
      </c>
      <c r="O153" s="119">
        <v>0</v>
      </c>
      <c r="P153" s="119" t="s">
        <v>327</v>
      </c>
    </row>
    <row r="154" spans="8:16">
      <c r="H154" s="116">
        <v>2022</v>
      </c>
      <c r="I154" s="116" t="s">
        <v>326</v>
      </c>
      <c r="J154" s="116" t="s">
        <v>331</v>
      </c>
      <c r="K154" s="118" t="s">
        <v>335</v>
      </c>
      <c r="L154" s="116">
        <v>2</v>
      </c>
      <c r="M154" s="119">
        <f t="shared" ca="1" si="31"/>
        <v>469.80386636818844</v>
      </c>
      <c r="N154" s="119">
        <v>0</v>
      </c>
      <c r="O154" s="119">
        <v>0</v>
      </c>
      <c r="P154" s="119" t="s">
        <v>327</v>
      </c>
    </row>
    <row r="155" spans="8:16">
      <c r="H155" s="116">
        <v>2022</v>
      </c>
      <c r="I155" s="116" t="s">
        <v>326</v>
      </c>
      <c r="J155" s="116" t="s">
        <v>331</v>
      </c>
      <c r="K155" s="118" t="s">
        <v>336</v>
      </c>
      <c r="L155" s="116">
        <v>2</v>
      </c>
      <c r="M155" s="119">
        <f t="shared" ca="1" si="31"/>
        <v>8161.8086096412635</v>
      </c>
      <c r="N155" s="119">
        <v>0</v>
      </c>
      <c r="O155" s="119">
        <v>0</v>
      </c>
      <c r="P155" s="119" t="s">
        <v>327</v>
      </c>
    </row>
    <row r="156" spans="8:16">
      <c r="H156" s="116">
        <v>2022</v>
      </c>
      <c r="I156" s="116" t="s">
        <v>326</v>
      </c>
      <c r="J156" s="116" t="s">
        <v>331</v>
      </c>
      <c r="K156" s="118" t="s">
        <v>337</v>
      </c>
      <c r="L156" s="116">
        <v>1</v>
      </c>
      <c r="M156" s="119">
        <f t="shared" ca="1" si="31"/>
        <v>105.04814451992694</v>
      </c>
      <c r="N156" s="119">
        <v>0</v>
      </c>
      <c r="O156" s="119">
        <v>0</v>
      </c>
      <c r="P156" s="119" t="s">
        <v>327</v>
      </c>
    </row>
    <row r="157" spans="8:16">
      <c r="H157" s="116">
        <v>2022</v>
      </c>
      <c r="I157" s="116" t="s">
        <v>326</v>
      </c>
      <c r="J157" s="116" t="s">
        <v>331</v>
      </c>
      <c r="K157" s="118" t="s">
        <v>338</v>
      </c>
      <c r="L157" s="116">
        <v>4</v>
      </c>
      <c r="M157" s="119">
        <f t="shared" ca="1" si="31"/>
        <v>751.68618618910148</v>
      </c>
      <c r="N157" s="119">
        <v>0</v>
      </c>
      <c r="O157" s="119">
        <v>0</v>
      </c>
      <c r="P157" s="119" t="s">
        <v>327</v>
      </c>
    </row>
    <row r="158" spans="8:16">
      <c r="H158" s="116">
        <v>2022</v>
      </c>
      <c r="I158" s="116" t="s">
        <v>326</v>
      </c>
      <c r="J158" s="116" t="s">
        <v>331</v>
      </c>
      <c r="K158" s="118" t="s">
        <v>341</v>
      </c>
      <c r="L158" s="116">
        <v>5</v>
      </c>
      <c r="M158" s="119">
        <f t="shared" ca="1" si="31"/>
        <v>112.75292792836522</v>
      </c>
      <c r="N158" s="119">
        <v>0</v>
      </c>
      <c r="O158" s="119">
        <v>0</v>
      </c>
      <c r="P158" s="119" t="s">
        <v>327</v>
      </c>
    </row>
    <row r="159" spans="8:16">
      <c r="H159" s="116">
        <v>2022</v>
      </c>
      <c r="I159" s="116" t="s">
        <v>326</v>
      </c>
      <c r="J159" s="116" t="s">
        <v>331</v>
      </c>
      <c r="K159" s="118" t="s">
        <v>342</v>
      </c>
      <c r="L159" s="116">
        <v>1</v>
      </c>
      <c r="M159" s="119">
        <f t="shared" ca="1" si="31"/>
        <v>3541.9453093230459</v>
      </c>
      <c r="N159" s="119">
        <v>0</v>
      </c>
      <c r="O159" s="119">
        <v>0</v>
      </c>
      <c r="P159" s="119" t="s">
        <v>327</v>
      </c>
    </row>
    <row r="160" spans="8:16">
      <c r="H160" s="116">
        <v>2022</v>
      </c>
      <c r="I160" s="116" t="s">
        <v>326</v>
      </c>
      <c r="J160" s="116" t="s">
        <v>343</v>
      </c>
      <c r="K160" s="118" t="s">
        <v>289</v>
      </c>
      <c r="L160" s="116">
        <v>2</v>
      </c>
      <c r="M160" s="119">
        <f t="shared" ca="1" si="31"/>
        <v>14723.277328885932</v>
      </c>
      <c r="N160" s="119">
        <v>0</v>
      </c>
      <c r="O160" s="119">
        <v>0</v>
      </c>
      <c r="P160" s="119" t="s">
        <v>327</v>
      </c>
    </row>
    <row r="161" spans="8:16">
      <c r="H161" s="116">
        <v>2022</v>
      </c>
      <c r="I161" s="116" t="s">
        <v>326</v>
      </c>
      <c r="J161" s="116" t="s">
        <v>344</v>
      </c>
      <c r="K161" s="118" t="s">
        <v>291</v>
      </c>
      <c r="L161" s="116">
        <v>2</v>
      </c>
      <c r="M161" s="119">
        <f t="shared" ca="1" si="31"/>
        <v>1509.2679503090978</v>
      </c>
      <c r="N161" s="119">
        <v>0</v>
      </c>
      <c r="O161" s="119">
        <v>0</v>
      </c>
      <c r="P161" s="119" t="s">
        <v>345</v>
      </c>
    </row>
    <row r="162" spans="8:16">
      <c r="H162" s="116">
        <v>2022</v>
      </c>
      <c r="I162" s="116" t="s">
        <v>326</v>
      </c>
      <c r="J162" s="116" t="s">
        <v>344</v>
      </c>
      <c r="K162" s="118" t="s">
        <v>292</v>
      </c>
      <c r="L162" s="116">
        <v>3</v>
      </c>
      <c r="M162" s="119">
        <f t="shared" ca="1" si="31"/>
        <v>339.36420464713848</v>
      </c>
      <c r="N162" s="119">
        <v>0</v>
      </c>
      <c r="O162" s="119">
        <v>0</v>
      </c>
      <c r="P162" s="119" t="s">
        <v>345</v>
      </c>
    </row>
    <row r="163" spans="8:16">
      <c r="H163" s="116">
        <v>2022</v>
      </c>
      <c r="I163" s="116" t="s">
        <v>326</v>
      </c>
      <c r="J163" s="116" t="s">
        <v>295</v>
      </c>
      <c r="K163" s="118" t="s">
        <v>295</v>
      </c>
      <c r="L163" s="116">
        <v>2</v>
      </c>
      <c r="M163" s="119">
        <f t="shared" ca="1" si="31"/>
        <v>7737.9460342995735</v>
      </c>
      <c r="N163" s="119">
        <v>0</v>
      </c>
      <c r="O163" s="119">
        <v>0</v>
      </c>
      <c r="P163" s="119" t="s">
        <v>327</v>
      </c>
    </row>
    <row r="164" spans="8:16">
      <c r="H164" s="116">
        <v>2022</v>
      </c>
      <c r="I164" s="116" t="s">
        <v>346</v>
      </c>
      <c r="J164" s="116" t="s">
        <v>30</v>
      </c>
      <c r="K164" s="118" t="s">
        <v>31</v>
      </c>
      <c r="L164" s="116">
        <v>255</v>
      </c>
      <c r="M164" s="119">
        <f t="shared" ref="M164:M181" ca="1" si="32">T32</f>
        <v>0</v>
      </c>
      <c r="N164" s="119">
        <v>0</v>
      </c>
      <c r="O164" s="119">
        <v>0</v>
      </c>
      <c r="P164" s="119" t="s">
        <v>327</v>
      </c>
    </row>
    <row r="165" spans="8:16">
      <c r="H165" s="116">
        <v>2022</v>
      </c>
      <c r="I165" s="116" t="s">
        <v>346</v>
      </c>
      <c r="J165" s="116" t="s">
        <v>30</v>
      </c>
      <c r="K165" s="118" t="s">
        <v>328</v>
      </c>
      <c r="L165" s="116">
        <v>165</v>
      </c>
      <c r="M165" s="119">
        <f t="shared" ca="1" si="32"/>
        <v>6250.1177759112725</v>
      </c>
      <c r="N165" s="119">
        <v>0</v>
      </c>
      <c r="O165" s="119">
        <v>0</v>
      </c>
      <c r="P165" s="119" t="s">
        <v>327</v>
      </c>
    </row>
    <row r="166" spans="8:16">
      <c r="H166" s="116">
        <v>2022</v>
      </c>
      <c r="I166" s="116" t="s">
        <v>346</v>
      </c>
      <c r="J166" s="116" t="s">
        <v>30</v>
      </c>
      <c r="K166" s="118" t="s">
        <v>329</v>
      </c>
      <c r="L166" s="116">
        <v>75</v>
      </c>
      <c r="M166" s="119">
        <f t="shared" ca="1" si="32"/>
        <v>0</v>
      </c>
      <c r="N166" s="119">
        <v>0</v>
      </c>
      <c r="O166" s="119">
        <v>0</v>
      </c>
      <c r="P166" s="119" t="s">
        <v>327</v>
      </c>
    </row>
    <row r="167" spans="8:16">
      <c r="H167" s="116">
        <v>2022</v>
      </c>
      <c r="I167" s="116" t="s">
        <v>346</v>
      </c>
      <c r="J167" s="116" t="s">
        <v>30</v>
      </c>
      <c r="K167" s="118" t="s">
        <v>330</v>
      </c>
      <c r="L167" s="116">
        <v>15</v>
      </c>
      <c r="M167" s="119">
        <f t="shared" ca="1" si="32"/>
        <v>2362.0236761464685</v>
      </c>
      <c r="N167" s="119">
        <v>0</v>
      </c>
      <c r="O167" s="119">
        <v>0</v>
      </c>
      <c r="P167" s="119" t="s">
        <v>327</v>
      </c>
    </row>
    <row r="168" spans="8:16">
      <c r="H168" s="116">
        <v>2022</v>
      </c>
      <c r="I168" s="116" t="s">
        <v>346</v>
      </c>
      <c r="J168" s="116" t="s">
        <v>278</v>
      </c>
      <c r="K168" s="118" t="s">
        <v>278</v>
      </c>
      <c r="L168" s="116">
        <v>50</v>
      </c>
      <c r="M168" s="119">
        <f t="shared" ca="1" si="32"/>
        <v>318617.1150653435</v>
      </c>
      <c r="N168" s="119">
        <f ca="1">T109</f>
        <v>460090.37802528101</v>
      </c>
      <c r="O168" s="119">
        <f ca="1">T117</f>
        <v>48296.9765882961</v>
      </c>
      <c r="P168" s="119" t="s">
        <v>327</v>
      </c>
    </row>
    <row r="169" spans="8:16">
      <c r="H169" s="116">
        <v>2022</v>
      </c>
      <c r="I169" s="116" t="s">
        <v>346</v>
      </c>
      <c r="J169" s="116" t="s">
        <v>331</v>
      </c>
      <c r="K169" s="118" t="s">
        <v>332</v>
      </c>
      <c r="L169" s="116">
        <v>62.5</v>
      </c>
      <c r="M169" s="119">
        <f t="shared" ca="1" si="32"/>
        <v>4774.3955232655553</v>
      </c>
      <c r="N169" s="119">
        <v>0</v>
      </c>
      <c r="O169" s="119">
        <v>0</v>
      </c>
      <c r="P169" s="119" t="s">
        <v>327</v>
      </c>
    </row>
    <row r="170" spans="8:16">
      <c r="H170" s="116">
        <v>2022</v>
      </c>
      <c r="I170" s="116" t="s">
        <v>346</v>
      </c>
      <c r="J170" s="116" t="s">
        <v>331</v>
      </c>
      <c r="K170" s="118" t="s">
        <v>333</v>
      </c>
      <c r="L170" s="116">
        <v>1</v>
      </c>
      <c r="M170" s="119">
        <f t="shared" ca="1" si="32"/>
        <v>1880.2437642533077</v>
      </c>
      <c r="N170" s="119">
        <v>0</v>
      </c>
      <c r="O170" s="119">
        <v>0</v>
      </c>
      <c r="P170" s="119" t="s">
        <v>327</v>
      </c>
    </row>
    <row r="171" spans="8:16">
      <c r="H171" s="116">
        <v>2022</v>
      </c>
      <c r="I171" s="116" t="s">
        <v>346</v>
      </c>
      <c r="J171" s="116" t="s">
        <v>331</v>
      </c>
      <c r="K171" s="118" t="s">
        <v>334</v>
      </c>
      <c r="L171" s="116">
        <v>1</v>
      </c>
      <c r="M171" s="119">
        <f t="shared" ca="1" si="32"/>
        <v>607.65033932470703</v>
      </c>
      <c r="N171" s="119">
        <v>0</v>
      </c>
      <c r="O171" s="119">
        <v>0</v>
      </c>
      <c r="P171" s="119" t="s">
        <v>327</v>
      </c>
    </row>
    <row r="172" spans="8:16">
      <c r="H172" s="116">
        <v>2022</v>
      </c>
      <c r="I172" s="116" t="s">
        <v>346</v>
      </c>
      <c r="J172" s="116" t="s">
        <v>331</v>
      </c>
      <c r="K172" s="118" t="s">
        <v>335</v>
      </c>
      <c r="L172" s="116">
        <v>2</v>
      </c>
      <c r="M172" s="119">
        <f t="shared" ca="1" si="32"/>
        <v>434.03595666050501</v>
      </c>
      <c r="N172" s="119">
        <v>0</v>
      </c>
      <c r="O172" s="119">
        <v>0</v>
      </c>
      <c r="P172" s="119" t="s">
        <v>327</v>
      </c>
    </row>
    <row r="173" spans="8:16">
      <c r="H173" s="116">
        <v>2022</v>
      </c>
      <c r="I173" s="116" t="s">
        <v>346</v>
      </c>
      <c r="J173" s="116" t="s">
        <v>331</v>
      </c>
      <c r="K173" s="118" t="s">
        <v>336</v>
      </c>
      <c r="L173" s="116">
        <v>2</v>
      </c>
      <c r="M173" s="119">
        <f t="shared" ca="1" si="32"/>
        <v>7540.4198678716211</v>
      </c>
      <c r="N173" s="119">
        <v>0</v>
      </c>
      <c r="O173" s="119">
        <v>0</v>
      </c>
      <c r="P173" s="119" t="s">
        <v>327</v>
      </c>
    </row>
    <row r="174" spans="8:16">
      <c r="H174" s="116">
        <v>2022</v>
      </c>
      <c r="I174" s="116" t="s">
        <v>346</v>
      </c>
      <c r="J174" s="116" t="s">
        <v>331</v>
      </c>
      <c r="K174" s="118" t="s">
        <v>337</v>
      </c>
      <c r="L174" s="116">
        <v>1</v>
      </c>
      <c r="M174" s="119">
        <f t="shared" ca="1" si="32"/>
        <v>97.050439909288926</v>
      </c>
      <c r="N174" s="119">
        <v>0</v>
      </c>
      <c r="O174" s="119">
        <v>0</v>
      </c>
      <c r="P174" s="119" t="s">
        <v>327</v>
      </c>
    </row>
    <row r="175" spans="8:16">
      <c r="H175" s="116">
        <v>2022</v>
      </c>
      <c r="I175" s="116" t="s">
        <v>346</v>
      </c>
      <c r="J175" s="116" t="s">
        <v>331</v>
      </c>
      <c r="K175" s="118" t="s">
        <v>338</v>
      </c>
      <c r="L175" s="116">
        <v>4</v>
      </c>
      <c r="M175" s="119">
        <f t="shared" ca="1" si="32"/>
        <v>694.45753065680799</v>
      </c>
      <c r="N175" s="119">
        <v>0</v>
      </c>
      <c r="O175" s="119">
        <v>0</v>
      </c>
      <c r="P175" s="119" t="s">
        <v>327</v>
      </c>
    </row>
    <row r="176" spans="8:16">
      <c r="H176" s="116">
        <v>2022</v>
      </c>
      <c r="I176" s="116" t="s">
        <v>346</v>
      </c>
      <c r="J176" s="116" t="s">
        <v>331</v>
      </c>
      <c r="K176" s="118" t="s">
        <v>341</v>
      </c>
      <c r="L176" s="116">
        <v>5</v>
      </c>
      <c r="M176" s="119">
        <f t="shared" ca="1" si="32"/>
        <v>104.16862959852121</v>
      </c>
      <c r="N176" s="119">
        <v>0</v>
      </c>
      <c r="O176" s="119">
        <v>0</v>
      </c>
      <c r="P176" s="119" t="s">
        <v>327</v>
      </c>
    </row>
    <row r="177" spans="8:16">
      <c r="H177" s="116">
        <v>2022</v>
      </c>
      <c r="I177" s="116" t="s">
        <v>346</v>
      </c>
      <c r="J177" s="116" t="s">
        <v>331</v>
      </c>
      <c r="K177" s="118" t="s">
        <v>342</v>
      </c>
      <c r="L177" s="116">
        <v>1</v>
      </c>
      <c r="M177" s="119">
        <f t="shared" ca="1" si="32"/>
        <v>3272.2838844548792</v>
      </c>
      <c r="N177" s="119">
        <v>0</v>
      </c>
      <c r="O177" s="119">
        <v>0</v>
      </c>
      <c r="P177" s="119" t="s">
        <v>327</v>
      </c>
    </row>
    <row r="178" spans="8:16">
      <c r="H178" s="116">
        <v>2022</v>
      </c>
      <c r="I178" s="116" t="s">
        <v>346</v>
      </c>
      <c r="J178" s="116" t="s">
        <v>343</v>
      </c>
      <c r="K178" s="118" t="s">
        <v>289</v>
      </c>
      <c r="L178" s="116">
        <v>2</v>
      </c>
      <c r="M178" s="119">
        <f t="shared" ca="1" si="32"/>
        <v>13602.339652974899</v>
      </c>
      <c r="N178" s="119">
        <v>0</v>
      </c>
      <c r="O178" s="119">
        <v>0</v>
      </c>
      <c r="P178" s="119" t="s">
        <v>327</v>
      </c>
    </row>
    <row r="179" spans="8:16">
      <c r="H179" s="116">
        <v>2022</v>
      </c>
      <c r="I179" s="116" t="s">
        <v>346</v>
      </c>
      <c r="J179" s="116" t="s">
        <v>344</v>
      </c>
      <c r="K179" s="118" t="s">
        <v>291</v>
      </c>
      <c r="L179" s="116">
        <v>2</v>
      </c>
      <c r="M179" s="119">
        <f t="shared" ca="1" si="32"/>
        <v>1394.3617870442577</v>
      </c>
      <c r="N179" s="119">
        <v>0</v>
      </c>
      <c r="O179" s="119">
        <v>0</v>
      </c>
      <c r="P179" s="119" t="s">
        <v>345</v>
      </c>
    </row>
    <row r="180" spans="8:16">
      <c r="H180" s="116">
        <v>2022</v>
      </c>
      <c r="I180" s="116" t="s">
        <v>346</v>
      </c>
      <c r="J180" s="116" t="s">
        <v>344</v>
      </c>
      <c r="K180" s="118" t="s">
        <v>292</v>
      </c>
      <c r="L180" s="116">
        <v>3</v>
      </c>
      <c r="M180" s="119">
        <f t="shared" ca="1" si="32"/>
        <v>313.52714987005891</v>
      </c>
      <c r="N180" s="119">
        <v>0</v>
      </c>
      <c r="O180" s="119">
        <v>0</v>
      </c>
      <c r="P180" s="119" t="s">
        <v>345</v>
      </c>
    </row>
    <row r="181" spans="8:16">
      <c r="H181" s="116">
        <v>2022</v>
      </c>
      <c r="I181" s="116" t="s">
        <v>346</v>
      </c>
      <c r="J181" s="116" t="s">
        <v>295</v>
      </c>
      <c r="K181" s="118" t="s">
        <v>295</v>
      </c>
      <c r="L181" s="116">
        <v>2</v>
      </c>
      <c r="M181" s="119">
        <f t="shared" ca="1" si="32"/>
        <v>7148.8275214671412</v>
      </c>
      <c r="N181" s="119">
        <v>0</v>
      </c>
      <c r="O181" s="119">
        <v>0</v>
      </c>
      <c r="P181" s="119" t="s">
        <v>327</v>
      </c>
    </row>
    <row r="182" spans="8:16">
      <c r="H182" s="116">
        <v>2022</v>
      </c>
      <c r="I182" s="116" t="s">
        <v>347</v>
      </c>
      <c r="J182" s="116" t="s">
        <v>30</v>
      </c>
      <c r="K182" s="118" t="s">
        <v>31</v>
      </c>
      <c r="L182" s="116">
        <v>255</v>
      </c>
      <c r="M182" s="119">
        <f t="shared" ref="M182:M199" ca="1" si="33">U32</f>
        <v>0</v>
      </c>
      <c r="N182" s="119">
        <v>0</v>
      </c>
      <c r="O182" s="119">
        <v>0</v>
      </c>
      <c r="P182" s="119" t="s">
        <v>327</v>
      </c>
    </row>
    <row r="183" spans="8:16">
      <c r="H183" s="116">
        <v>2022</v>
      </c>
      <c r="I183" s="116" t="s">
        <v>347</v>
      </c>
      <c r="J183" s="116" t="s">
        <v>30</v>
      </c>
      <c r="K183" s="118" t="s">
        <v>328</v>
      </c>
      <c r="L183" s="116">
        <v>165</v>
      </c>
      <c r="M183" s="119">
        <f t="shared" ca="1" si="33"/>
        <v>575.01442019803824</v>
      </c>
      <c r="N183" s="119">
        <v>0</v>
      </c>
      <c r="O183" s="119">
        <v>0</v>
      </c>
      <c r="P183" s="119" t="s">
        <v>327</v>
      </c>
    </row>
    <row r="184" spans="8:16">
      <c r="H184" s="116">
        <v>2022</v>
      </c>
      <c r="I184" s="116" t="s">
        <v>347</v>
      </c>
      <c r="J184" s="116" t="s">
        <v>30</v>
      </c>
      <c r="K184" s="118" t="s">
        <v>329</v>
      </c>
      <c r="L184" s="116">
        <v>75</v>
      </c>
      <c r="M184" s="119">
        <f t="shared" ca="1" si="33"/>
        <v>0</v>
      </c>
      <c r="N184" s="119">
        <v>0</v>
      </c>
      <c r="O184" s="119">
        <v>0</v>
      </c>
      <c r="P184" s="119" t="s">
        <v>327</v>
      </c>
    </row>
    <row r="185" spans="8:16">
      <c r="H185" s="116">
        <v>2022</v>
      </c>
      <c r="I185" s="116" t="s">
        <v>347</v>
      </c>
      <c r="J185" s="116" t="s">
        <v>30</v>
      </c>
      <c r="K185" s="118" t="s">
        <v>330</v>
      </c>
      <c r="L185" s="116">
        <v>15</v>
      </c>
      <c r="M185" s="119">
        <f t="shared" ca="1" si="33"/>
        <v>217.30753296650863</v>
      </c>
      <c r="N185" s="119">
        <v>0</v>
      </c>
      <c r="O185" s="119">
        <v>0</v>
      </c>
      <c r="P185" s="119" t="s">
        <v>327</v>
      </c>
    </row>
    <row r="186" spans="8:16">
      <c r="H186" s="116">
        <v>2022</v>
      </c>
      <c r="I186" s="116" t="s">
        <v>347</v>
      </c>
      <c r="J186" s="116" t="s">
        <v>278</v>
      </c>
      <c r="K186" s="118" t="s">
        <v>278</v>
      </c>
      <c r="L186" s="116">
        <v>50</v>
      </c>
      <c r="M186" s="119">
        <f t="shared" ca="1" si="33"/>
        <v>29312.957331873327</v>
      </c>
      <c r="N186" s="119">
        <f ca="1">U109</f>
        <v>120545.64605990762</v>
      </c>
      <c r="O186" s="119">
        <f ca="1">U117</f>
        <v>12654.014349451318</v>
      </c>
      <c r="P186" s="119" t="s">
        <v>327</v>
      </c>
    </row>
    <row r="187" spans="8:16">
      <c r="H187" s="116">
        <v>2022</v>
      </c>
      <c r="I187" s="116" t="s">
        <v>347</v>
      </c>
      <c r="J187" s="116" t="s">
        <v>331</v>
      </c>
      <c r="K187" s="118" t="s">
        <v>332</v>
      </c>
      <c r="L187" s="116">
        <v>62.5</v>
      </c>
      <c r="M187" s="119">
        <f t="shared" ca="1" si="33"/>
        <v>439.24712654016815</v>
      </c>
      <c r="N187" s="119">
        <v>0</v>
      </c>
      <c r="O187" s="119">
        <v>0</v>
      </c>
      <c r="P187" s="119" t="s">
        <v>327</v>
      </c>
    </row>
    <row r="188" spans="8:16">
      <c r="H188" s="116">
        <v>2022</v>
      </c>
      <c r="I188" s="116" t="s">
        <v>347</v>
      </c>
      <c r="J188" s="116" t="s">
        <v>331</v>
      </c>
      <c r="K188" s="118" t="s">
        <v>333</v>
      </c>
      <c r="L188" s="116">
        <v>1</v>
      </c>
      <c r="M188" s="119">
        <f t="shared" ca="1" si="33"/>
        <v>172.98350474290984</v>
      </c>
      <c r="N188" s="119">
        <v>0</v>
      </c>
      <c r="O188" s="119">
        <v>0</v>
      </c>
      <c r="P188" s="119" t="s">
        <v>327</v>
      </c>
    </row>
    <row r="189" spans="8:16">
      <c r="H189" s="116">
        <v>2022</v>
      </c>
      <c r="I189" s="116" t="s">
        <v>347</v>
      </c>
      <c r="J189" s="116" t="s">
        <v>331</v>
      </c>
      <c r="K189" s="118" t="s">
        <v>334</v>
      </c>
      <c r="L189" s="116">
        <v>1</v>
      </c>
      <c r="M189" s="119">
        <f t="shared" ca="1" si="33"/>
        <v>55.904179741475943</v>
      </c>
      <c r="N189" s="119">
        <v>0</v>
      </c>
      <c r="O189" s="119">
        <v>0</v>
      </c>
      <c r="P189" s="119" t="s">
        <v>327</v>
      </c>
    </row>
    <row r="190" spans="8:16">
      <c r="H190" s="116">
        <v>2022</v>
      </c>
      <c r="I190" s="116" t="s">
        <v>347</v>
      </c>
      <c r="J190" s="116" t="s">
        <v>331</v>
      </c>
      <c r="K190" s="118" t="s">
        <v>335</v>
      </c>
      <c r="L190" s="116">
        <v>2</v>
      </c>
      <c r="M190" s="119">
        <f t="shared" ca="1" si="33"/>
        <v>39.931556958197099</v>
      </c>
      <c r="N190" s="119">
        <v>0</v>
      </c>
      <c r="O190" s="119">
        <v>0</v>
      </c>
      <c r="P190" s="119" t="s">
        <v>327</v>
      </c>
    </row>
    <row r="191" spans="8:16">
      <c r="H191" s="116">
        <v>2022</v>
      </c>
      <c r="I191" s="116" t="s">
        <v>347</v>
      </c>
      <c r="J191" s="116" t="s">
        <v>331</v>
      </c>
      <c r="K191" s="118" t="s">
        <v>336</v>
      </c>
      <c r="L191" s="116">
        <v>2</v>
      </c>
      <c r="M191" s="119">
        <f t="shared" ca="1" si="33"/>
        <v>693.72295272336657</v>
      </c>
      <c r="N191" s="119">
        <v>0</v>
      </c>
      <c r="O191" s="119">
        <v>0</v>
      </c>
      <c r="P191" s="119" t="s">
        <v>327</v>
      </c>
    </row>
    <row r="192" spans="8:16">
      <c r="H192" s="116">
        <v>2022</v>
      </c>
      <c r="I192" s="116" t="s">
        <v>347</v>
      </c>
      <c r="J192" s="116" t="s">
        <v>331</v>
      </c>
      <c r="K192" s="118" t="s">
        <v>337</v>
      </c>
      <c r="L192" s="116">
        <v>1</v>
      </c>
      <c r="M192" s="119">
        <f t="shared" ca="1" si="33"/>
        <v>8.9286961358528725</v>
      </c>
      <c r="N192" s="119">
        <v>0</v>
      </c>
      <c r="O192" s="119">
        <v>0</v>
      </c>
      <c r="P192" s="119" t="s">
        <v>327</v>
      </c>
    </row>
    <row r="193" spans="8:16">
      <c r="H193" s="116">
        <v>2022</v>
      </c>
      <c r="I193" s="116" t="s">
        <v>347</v>
      </c>
      <c r="J193" s="116" t="s">
        <v>331</v>
      </c>
      <c r="K193" s="118" t="s">
        <v>338</v>
      </c>
      <c r="L193" s="116">
        <v>4</v>
      </c>
      <c r="M193" s="119">
        <f t="shared" ca="1" si="33"/>
        <v>63.890491133115361</v>
      </c>
      <c r="N193" s="119">
        <v>0</v>
      </c>
      <c r="O193" s="119">
        <v>0</v>
      </c>
      <c r="P193" s="119" t="s">
        <v>327</v>
      </c>
    </row>
    <row r="194" spans="8:16">
      <c r="H194" s="116">
        <v>2022</v>
      </c>
      <c r="I194" s="116" t="s">
        <v>347</v>
      </c>
      <c r="J194" s="116" t="s">
        <v>331</v>
      </c>
      <c r="K194" s="118" t="s">
        <v>341</v>
      </c>
      <c r="L194" s="116">
        <v>5</v>
      </c>
      <c r="M194" s="119">
        <f t="shared" ca="1" si="33"/>
        <v>9.5835736699673042</v>
      </c>
      <c r="N194" s="119">
        <v>0</v>
      </c>
      <c r="O194" s="119">
        <v>0</v>
      </c>
      <c r="P194" s="119" t="s">
        <v>327</v>
      </c>
    </row>
    <row r="195" spans="8:16">
      <c r="H195" s="116">
        <v>2022</v>
      </c>
      <c r="I195" s="116" t="s">
        <v>347</v>
      </c>
      <c r="J195" s="116" t="s">
        <v>331</v>
      </c>
      <c r="K195" s="118" t="s">
        <v>342</v>
      </c>
      <c r="L195" s="116">
        <v>1</v>
      </c>
      <c r="M195" s="119">
        <f t="shared" ca="1" si="33"/>
        <v>301.05199421923959</v>
      </c>
      <c r="N195" s="119">
        <v>0</v>
      </c>
      <c r="O195" s="119">
        <v>0</v>
      </c>
      <c r="P195" s="119" t="s">
        <v>327</v>
      </c>
    </row>
    <row r="196" spans="8:16">
      <c r="H196" s="116">
        <v>2022</v>
      </c>
      <c r="I196" s="116" t="s">
        <v>347</v>
      </c>
      <c r="J196" s="116" t="s">
        <v>343</v>
      </c>
      <c r="K196" s="118" t="s">
        <v>289</v>
      </c>
      <c r="L196" s="116">
        <v>2</v>
      </c>
      <c r="M196" s="119">
        <f t="shared" ca="1" si="33"/>
        <v>1251.4230498243307</v>
      </c>
      <c r="N196" s="119">
        <v>0</v>
      </c>
      <c r="O196" s="119">
        <v>0</v>
      </c>
      <c r="P196" s="119" t="s">
        <v>327</v>
      </c>
    </row>
    <row r="197" spans="8:16">
      <c r="H197" s="116">
        <v>2022</v>
      </c>
      <c r="I197" s="116" t="s">
        <v>347</v>
      </c>
      <c r="J197" s="116" t="s">
        <v>344</v>
      </c>
      <c r="K197" s="118" t="s">
        <v>291</v>
      </c>
      <c r="L197" s="116">
        <v>2</v>
      </c>
      <c r="M197" s="119">
        <f t="shared" ca="1" si="33"/>
        <v>128.28208415747085</v>
      </c>
      <c r="N197" s="119">
        <v>0</v>
      </c>
      <c r="O197" s="119">
        <v>0</v>
      </c>
      <c r="P197" s="119" t="s">
        <v>345</v>
      </c>
    </row>
    <row r="198" spans="8:16">
      <c r="H198" s="116">
        <v>2022</v>
      </c>
      <c r="I198" s="116" t="s">
        <v>347</v>
      </c>
      <c r="J198" s="116" t="s">
        <v>344</v>
      </c>
      <c r="K198" s="118" t="s">
        <v>292</v>
      </c>
      <c r="L198" s="116">
        <v>3</v>
      </c>
      <c r="M198" s="119">
        <f t="shared" ca="1" si="33"/>
        <v>28.844677614509436</v>
      </c>
      <c r="N198" s="119">
        <v>0</v>
      </c>
      <c r="O198" s="119">
        <v>0</v>
      </c>
      <c r="P198" s="119" t="s">
        <v>345</v>
      </c>
    </row>
    <row r="199" spans="8:16">
      <c r="H199" s="116">
        <v>2022</v>
      </c>
      <c r="I199" s="116" t="s">
        <v>347</v>
      </c>
      <c r="J199" s="116" t="s">
        <v>295</v>
      </c>
      <c r="K199" s="118" t="s">
        <v>295</v>
      </c>
      <c r="L199" s="116">
        <v>2</v>
      </c>
      <c r="M199" s="119">
        <f t="shared" ca="1" si="33"/>
        <v>657.69623225265821</v>
      </c>
      <c r="N199" s="119">
        <v>0</v>
      </c>
      <c r="O199" s="119">
        <v>0</v>
      </c>
      <c r="P199" s="119" t="s">
        <v>327</v>
      </c>
    </row>
    <row r="200" spans="8:16">
      <c r="H200" s="116">
        <v>2022</v>
      </c>
      <c r="I200" s="116" t="s">
        <v>348</v>
      </c>
      <c r="J200" s="116" t="s">
        <v>30</v>
      </c>
      <c r="K200" s="118" t="s">
        <v>31</v>
      </c>
      <c r="L200" s="116">
        <v>255</v>
      </c>
      <c r="M200" s="119">
        <f t="shared" ref="M200:M217" ca="1" si="34">V32</f>
        <v>0</v>
      </c>
      <c r="N200" s="119">
        <v>0</v>
      </c>
      <c r="O200" s="119">
        <v>0</v>
      </c>
      <c r="P200" s="119" t="s">
        <v>327</v>
      </c>
    </row>
    <row r="201" spans="8:16">
      <c r="H201" s="116">
        <v>2022</v>
      </c>
      <c r="I201" s="116" t="s">
        <v>348</v>
      </c>
      <c r="J201" s="116" t="s">
        <v>30</v>
      </c>
      <c r="K201" s="118" t="s">
        <v>328</v>
      </c>
      <c r="L201" s="116">
        <v>165</v>
      </c>
      <c r="M201" s="119">
        <f t="shared" ca="1" si="34"/>
        <v>5307.9926667557502</v>
      </c>
      <c r="N201" s="119">
        <v>0</v>
      </c>
      <c r="O201" s="119">
        <v>0</v>
      </c>
      <c r="P201" s="119" t="s">
        <v>327</v>
      </c>
    </row>
    <row r="202" spans="8:16">
      <c r="H202" s="116">
        <v>2022</v>
      </c>
      <c r="I202" s="116" t="s">
        <v>348</v>
      </c>
      <c r="J202" s="116" t="s">
        <v>30</v>
      </c>
      <c r="K202" s="118" t="s">
        <v>329</v>
      </c>
      <c r="L202" s="116">
        <v>75</v>
      </c>
      <c r="M202" s="119">
        <f t="shared" ca="1" si="34"/>
        <v>0</v>
      </c>
      <c r="N202" s="119">
        <v>0</v>
      </c>
      <c r="O202" s="119">
        <v>0</v>
      </c>
      <c r="P202" s="119" t="s">
        <v>327</v>
      </c>
    </row>
    <row r="203" spans="8:16">
      <c r="H203" s="116">
        <v>2022</v>
      </c>
      <c r="I203" s="116" t="s">
        <v>348</v>
      </c>
      <c r="J203" s="116" t="s">
        <v>30</v>
      </c>
      <c r="K203" s="118" t="s">
        <v>330</v>
      </c>
      <c r="L203" s="116">
        <v>15</v>
      </c>
      <c r="M203" s="119">
        <f t="shared" ca="1" si="34"/>
        <v>2005.9788953114439</v>
      </c>
      <c r="N203" s="119">
        <v>0</v>
      </c>
      <c r="O203" s="119">
        <v>0</v>
      </c>
      <c r="P203" s="119" t="s">
        <v>327</v>
      </c>
    </row>
    <row r="204" spans="8:16">
      <c r="H204" s="116">
        <v>2022</v>
      </c>
      <c r="I204" s="116" t="s">
        <v>348</v>
      </c>
      <c r="J204" s="116" t="s">
        <v>278</v>
      </c>
      <c r="K204" s="118" t="s">
        <v>278</v>
      </c>
      <c r="L204" s="116">
        <v>50</v>
      </c>
      <c r="M204" s="119">
        <f t="shared" ca="1" si="34"/>
        <v>270589.67061194871</v>
      </c>
      <c r="N204" s="119">
        <f ca="1">V109</f>
        <v>137529.73428953218</v>
      </c>
      <c r="O204" s="119">
        <f ca="1">V117</f>
        <v>14436.881696341712</v>
      </c>
      <c r="P204" s="119" t="s">
        <v>327</v>
      </c>
    </row>
    <row r="205" spans="8:16">
      <c r="H205" s="116">
        <v>2022</v>
      </c>
      <c r="I205" s="116" t="s">
        <v>348</v>
      </c>
      <c r="J205" s="116" t="s">
        <v>331</v>
      </c>
      <c r="K205" s="118" t="s">
        <v>332</v>
      </c>
      <c r="L205" s="116">
        <v>62.5</v>
      </c>
      <c r="M205" s="119">
        <f t="shared" ca="1" si="34"/>
        <v>4054.7166204384203</v>
      </c>
      <c r="N205" s="119">
        <v>0</v>
      </c>
      <c r="O205" s="119">
        <v>0</v>
      </c>
      <c r="P205" s="119" t="s">
        <v>327</v>
      </c>
    </row>
    <row r="206" spans="8:16">
      <c r="H206" s="116">
        <v>2022</v>
      </c>
      <c r="I206" s="116" t="s">
        <v>348</v>
      </c>
      <c r="J206" s="116" t="s">
        <v>331</v>
      </c>
      <c r="K206" s="118" t="s">
        <v>333</v>
      </c>
      <c r="L206" s="116">
        <v>1</v>
      </c>
      <c r="M206" s="119">
        <f t="shared" ca="1" si="34"/>
        <v>1596.8211272490214</v>
      </c>
      <c r="N206" s="119">
        <v>0</v>
      </c>
      <c r="O206" s="119">
        <v>0</v>
      </c>
      <c r="P206" s="119" t="s">
        <v>327</v>
      </c>
    </row>
    <row r="207" spans="8:16">
      <c r="H207" s="116">
        <v>2022</v>
      </c>
      <c r="I207" s="116" t="s">
        <v>348</v>
      </c>
      <c r="J207" s="116" t="s">
        <v>331</v>
      </c>
      <c r="K207" s="118" t="s">
        <v>334</v>
      </c>
      <c r="L207" s="116">
        <v>1</v>
      </c>
      <c r="M207" s="119">
        <f t="shared" ca="1" si="34"/>
        <v>516.05484260125343</v>
      </c>
      <c r="N207" s="119">
        <v>0</v>
      </c>
      <c r="O207" s="119">
        <v>0</v>
      </c>
      <c r="P207" s="119" t="s">
        <v>327</v>
      </c>
    </row>
    <row r="208" spans="8:16">
      <c r="H208" s="116">
        <v>2022</v>
      </c>
      <c r="I208" s="116" t="s">
        <v>348</v>
      </c>
      <c r="J208" s="116" t="s">
        <v>331</v>
      </c>
      <c r="K208" s="118" t="s">
        <v>335</v>
      </c>
      <c r="L208" s="116">
        <v>2</v>
      </c>
      <c r="M208" s="119">
        <f t="shared" ca="1" si="34"/>
        <v>368.61060185803819</v>
      </c>
      <c r="N208" s="119">
        <v>0</v>
      </c>
      <c r="O208" s="119">
        <v>0</v>
      </c>
      <c r="P208" s="119" t="s">
        <v>327</v>
      </c>
    </row>
    <row r="209" spans="8:16">
      <c r="H209" s="116">
        <v>2022</v>
      </c>
      <c r="I209" s="116" t="s">
        <v>348</v>
      </c>
      <c r="J209" s="116" t="s">
        <v>331</v>
      </c>
      <c r="K209" s="118" t="s">
        <v>336</v>
      </c>
      <c r="L209" s="116">
        <v>2</v>
      </c>
      <c r="M209" s="119">
        <f t="shared" ca="1" si="34"/>
        <v>6403.7982639593256</v>
      </c>
      <c r="N209" s="119">
        <v>0</v>
      </c>
      <c r="O209" s="119">
        <v>0</v>
      </c>
      <c r="P209" s="119" t="s">
        <v>327</v>
      </c>
    </row>
    <row r="210" spans="8:16">
      <c r="H210" s="116">
        <v>2022</v>
      </c>
      <c r="I210" s="116" t="s">
        <v>348</v>
      </c>
      <c r="J210" s="116" t="s">
        <v>331</v>
      </c>
      <c r="K210" s="118" t="s">
        <v>337</v>
      </c>
      <c r="L210" s="116">
        <v>1</v>
      </c>
      <c r="M210" s="119">
        <f t="shared" ca="1" si="34"/>
        <v>82.421330575457347</v>
      </c>
      <c r="N210" s="119">
        <v>0</v>
      </c>
      <c r="O210" s="119">
        <v>0</v>
      </c>
      <c r="P210" s="119" t="s">
        <v>327</v>
      </c>
    </row>
    <row r="211" spans="8:16">
      <c r="H211" s="116">
        <v>2022</v>
      </c>
      <c r="I211" s="116" t="s">
        <v>348</v>
      </c>
      <c r="J211" s="116" t="s">
        <v>331</v>
      </c>
      <c r="K211" s="118" t="s">
        <v>338</v>
      </c>
      <c r="L211" s="116">
        <v>4</v>
      </c>
      <c r="M211" s="119">
        <f t="shared" ca="1" si="34"/>
        <v>589.77696297286116</v>
      </c>
      <c r="N211" s="119">
        <v>0</v>
      </c>
      <c r="O211" s="119">
        <v>0</v>
      </c>
      <c r="P211" s="119" t="s">
        <v>327</v>
      </c>
    </row>
    <row r="212" spans="8:16">
      <c r="H212" s="116">
        <v>2022</v>
      </c>
      <c r="I212" s="116" t="s">
        <v>348</v>
      </c>
      <c r="J212" s="116" t="s">
        <v>331</v>
      </c>
      <c r="K212" s="118" t="s">
        <v>341</v>
      </c>
      <c r="L212" s="116">
        <v>5</v>
      </c>
      <c r="M212" s="119">
        <f t="shared" ca="1" si="34"/>
        <v>88.466544445929173</v>
      </c>
      <c r="N212" s="119">
        <v>0</v>
      </c>
      <c r="O212" s="119">
        <v>0</v>
      </c>
      <c r="P212" s="119" t="s">
        <v>327</v>
      </c>
    </row>
    <row r="213" spans="8:16">
      <c r="H213" s="116">
        <v>2022</v>
      </c>
      <c r="I213" s="116" t="s">
        <v>348</v>
      </c>
      <c r="J213" s="116" t="s">
        <v>331</v>
      </c>
      <c r="K213" s="118" t="s">
        <v>342</v>
      </c>
      <c r="L213" s="116">
        <v>1</v>
      </c>
      <c r="M213" s="119">
        <f t="shared" ca="1" si="34"/>
        <v>2779.0290495281215</v>
      </c>
      <c r="N213" s="119">
        <v>0</v>
      </c>
      <c r="O213" s="119">
        <v>0</v>
      </c>
      <c r="P213" s="119" t="s">
        <v>327</v>
      </c>
    </row>
    <row r="214" spans="8:16">
      <c r="H214" s="116">
        <v>2022</v>
      </c>
      <c r="I214" s="116" t="s">
        <v>348</v>
      </c>
      <c r="J214" s="116" t="s">
        <v>343</v>
      </c>
      <c r="K214" s="118" t="s">
        <v>289</v>
      </c>
      <c r="L214" s="116">
        <v>2</v>
      </c>
      <c r="M214" s="119">
        <f t="shared" ca="1" si="34"/>
        <v>11551.961373749431</v>
      </c>
      <c r="N214" s="119">
        <v>0</v>
      </c>
      <c r="O214" s="119">
        <v>0</v>
      </c>
      <c r="P214" s="119" t="s">
        <v>327</v>
      </c>
    </row>
    <row r="215" spans="8:16">
      <c r="H215" s="116">
        <v>2022</v>
      </c>
      <c r="I215" s="116" t="s">
        <v>348</v>
      </c>
      <c r="J215" s="116" t="s">
        <v>344</v>
      </c>
      <c r="K215" s="118" t="s">
        <v>291</v>
      </c>
      <c r="L215" s="116">
        <v>2</v>
      </c>
      <c r="M215" s="119">
        <f t="shared" ca="1" si="34"/>
        <v>1184.1796276160976</v>
      </c>
      <c r="N215" s="119">
        <v>0</v>
      </c>
      <c r="O215" s="119">
        <v>0</v>
      </c>
      <c r="P215" s="119" t="s">
        <v>345</v>
      </c>
    </row>
    <row r="216" spans="8:16">
      <c r="H216" s="116">
        <v>2022</v>
      </c>
      <c r="I216" s="116" t="s">
        <v>348</v>
      </c>
      <c r="J216" s="116" t="s">
        <v>344</v>
      </c>
      <c r="K216" s="118" t="s">
        <v>292</v>
      </c>
      <c r="L216" s="116">
        <v>3</v>
      </c>
      <c r="M216" s="119">
        <f t="shared" ca="1" si="34"/>
        <v>266.26695240098286</v>
      </c>
      <c r="N216" s="119">
        <v>0</v>
      </c>
      <c r="O216" s="119">
        <v>0</v>
      </c>
      <c r="P216" s="119" t="s">
        <v>345</v>
      </c>
    </row>
    <row r="217" spans="8:16">
      <c r="H217" s="116">
        <v>2022</v>
      </c>
      <c r="I217" s="116" t="s">
        <v>348</v>
      </c>
      <c r="J217" s="116" t="s">
        <v>295</v>
      </c>
      <c r="K217" s="118" t="s">
        <v>295</v>
      </c>
      <c r="L217" s="116">
        <v>2</v>
      </c>
      <c r="M217" s="119">
        <f t="shared" ca="1" si="34"/>
        <v>6071.2334423676875</v>
      </c>
      <c r="N217" s="119">
        <v>0</v>
      </c>
      <c r="O217" s="119">
        <v>0</v>
      </c>
      <c r="P217" s="119" t="s">
        <v>327</v>
      </c>
    </row>
    <row r="218" spans="8:16">
      <c r="H218" s="116">
        <v>2022</v>
      </c>
      <c r="I218" s="116" t="s">
        <v>349</v>
      </c>
      <c r="J218" s="116" t="s">
        <v>30</v>
      </c>
      <c r="K218" s="118" t="s">
        <v>31</v>
      </c>
      <c r="L218" s="116">
        <v>255</v>
      </c>
      <c r="M218" s="119">
        <f t="shared" ref="M218:M235" ca="1" si="35">W32</f>
        <v>0</v>
      </c>
      <c r="N218" s="119">
        <v>0</v>
      </c>
      <c r="O218" s="119">
        <v>0</v>
      </c>
      <c r="P218" s="119" t="s">
        <v>327</v>
      </c>
    </row>
    <row r="219" spans="8:16">
      <c r="H219" s="116">
        <v>2022</v>
      </c>
      <c r="I219" s="116" t="s">
        <v>349</v>
      </c>
      <c r="J219" s="116" t="s">
        <v>30</v>
      </c>
      <c r="K219" s="118" t="s">
        <v>328</v>
      </c>
      <c r="L219" s="116">
        <v>165</v>
      </c>
      <c r="M219" s="119">
        <f t="shared" ca="1" si="35"/>
        <v>581.76539211359352</v>
      </c>
      <c r="N219" s="119">
        <v>0</v>
      </c>
      <c r="O219" s="119">
        <v>0</v>
      </c>
      <c r="P219" s="119" t="s">
        <v>327</v>
      </c>
    </row>
    <row r="220" spans="8:16">
      <c r="H220" s="116">
        <v>2022</v>
      </c>
      <c r="I220" s="116" t="s">
        <v>349</v>
      </c>
      <c r="J220" s="116" t="s">
        <v>30</v>
      </c>
      <c r="K220" s="118" t="s">
        <v>329</v>
      </c>
      <c r="L220" s="116">
        <v>75</v>
      </c>
      <c r="M220" s="119">
        <f t="shared" ca="1" si="35"/>
        <v>0</v>
      </c>
      <c r="N220" s="119">
        <v>0</v>
      </c>
      <c r="O220" s="119">
        <v>0</v>
      </c>
      <c r="P220" s="119" t="s">
        <v>327</v>
      </c>
    </row>
    <row r="221" spans="8:16">
      <c r="H221" s="116">
        <v>2022</v>
      </c>
      <c r="I221" s="116" t="s">
        <v>349</v>
      </c>
      <c r="J221" s="116" t="s">
        <v>30</v>
      </c>
      <c r="K221" s="118" t="s">
        <v>330</v>
      </c>
      <c r="L221" s="116">
        <v>15</v>
      </c>
      <c r="M221" s="119">
        <f t="shared" ca="1" si="35"/>
        <v>219.85883776959557</v>
      </c>
      <c r="N221" s="119">
        <v>0</v>
      </c>
      <c r="O221" s="119">
        <v>0</v>
      </c>
      <c r="P221" s="119" t="s">
        <v>327</v>
      </c>
    </row>
    <row r="222" spans="8:16">
      <c r="H222" s="116">
        <v>2022</v>
      </c>
      <c r="I222" s="116" t="s">
        <v>349</v>
      </c>
      <c r="J222" s="116" t="s">
        <v>278</v>
      </c>
      <c r="K222" s="118" t="s">
        <v>278</v>
      </c>
      <c r="L222" s="116">
        <v>50</v>
      </c>
      <c r="M222" s="119">
        <f t="shared" ca="1" si="35"/>
        <v>29657.106877968527</v>
      </c>
      <c r="N222" s="119">
        <f ca="1">W109</f>
        <v>298270.24914267258</v>
      </c>
      <c r="O222" s="119">
        <f ca="1">W117</f>
        <v>31310.264086934127</v>
      </c>
      <c r="P222" s="119" t="s">
        <v>327</v>
      </c>
    </row>
    <row r="223" spans="8:16">
      <c r="H223" s="116">
        <v>2022</v>
      </c>
      <c r="I223" s="116" t="s">
        <v>349</v>
      </c>
      <c r="J223" s="116" t="s">
        <v>331</v>
      </c>
      <c r="K223" s="118" t="s">
        <v>332</v>
      </c>
      <c r="L223" s="116">
        <v>62.5</v>
      </c>
      <c r="M223" s="119">
        <f t="shared" ca="1" si="35"/>
        <v>444.40411897566173</v>
      </c>
      <c r="N223" s="119">
        <v>0</v>
      </c>
      <c r="O223" s="119">
        <v>0</v>
      </c>
      <c r="P223" s="119" t="s">
        <v>327</v>
      </c>
    </row>
    <row r="224" spans="8:16">
      <c r="H224" s="116">
        <v>2022</v>
      </c>
      <c r="I224" s="116" t="s">
        <v>349</v>
      </c>
      <c r="J224" s="116" t="s">
        <v>331</v>
      </c>
      <c r="K224" s="118" t="s">
        <v>333</v>
      </c>
      <c r="L224" s="116">
        <v>1</v>
      </c>
      <c r="M224" s="119">
        <f t="shared" ca="1" si="35"/>
        <v>175.01442212750607</v>
      </c>
      <c r="N224" s="119">
        <v>0</v>
      </c>
      <c r="O224" s="119">
        <v>0</v>
      </c>
      <c r="P224" s="119" t="s">
        <v>327</v>
      </c>
    </row>
    <row r="225" spans="8:16">
      <c r="H225" s="116">
        <v>2022</v>
      </c>
      <c r="I225" s="116" t="s">
        <v>349</v>
      </c>
      <c r="J225" s="116" t="s">
        <v>331</v>
      </c>
      <c r="K225" s="118" t="s">
        <v>334</v>
      </c>
      <c r="L225" s="116">
        <v>1</v>
      </c>
      <c r="M225" s="119">
        <f t="shared" ca="1" si="35"/>
        <v>56.560524233266044</v>
      </c>
      <c r="N225" s="119">
        <v>0</v>
      </c>
      <c r="O225" s="119">
        <v>0</v>
      </c>
      <c r="P225" s="119" t="s">
        <v>327</v>
      </c>
    </row>
    <row r="226" spans="8:16">
      <c r="H226" s="116">
        <v>2022</v>
      </c>
      <c r="I226" s="116" t="s">
        <v>349</v>
      </c>
      <c r="J226" s="116" t="s">
        <v>331</v>
      </c>
      <c r="K226" s="118" t="s">
        <v>335</v>
      </c>
      <c r="L226" s="116">
        <v>2</v>
      </c>
      <c r="M226" s="119">
        <f t="shared" ca="1" si="35"/>
        <v>40.400374452332883</v>
      </c>
      <c r="N226" s="119">
        <v>0</v>
      </c>
      <c r="O226" s="119">
        <v>0</v>
      </c>
      <c r="P226" s="119" t="s">
        <v>327</v>
      </c>
    </row>
    <row r="227" spans="8:16">
      <c r="H227" s="116">
        <v>2022</v>
      </c>
      <c r="I227" s="116" t="s">
        <v>349</v>
      </c>
      <c r="J227" s="116" t="s">
        <v>331</v>
      </c>
      <c r="K227" s="118" t="s">
        <v>336</v>
      </c>
      <c r="L227" s="116">
        <v>2</v>
      </c>
      <c r="M227" s="119">
        <f t="shared" ca="1" si="35"/>
        <v>701.86762528548877</v>
      </c>
      <c r="N227" s="119">
        <v>0</v>
      </c>
      <c r="O227" s="119">
        <v>0</v>
      </c>
      <c r="P227" s="119" t="s">
        <v>327</v>
      </c>
    </row>
    <row r="228" spans="8:16">
      <c r="H228" s="116">
        <v>2022</v>
      </c>
      <c r="I228" s="116" t="s">
        <v>349</v>
      </c>
      <c r="J228" s="116" t="s">
        <v>331</v>
      </c>
      <c r="K228" s="118" t="s">
        <v>337</v>
      </c>
      <c r="L228" s="116">
        <v>1</v>
      </c>
      <c r="M228" s="119">
        <f t="shared" ca="1" si="35"/>
        <v>9.0335237275416347</v>
      </c>
      <c r="N228" s="119">
        <v>0</v>
      </c>
      <c r="O228" s="119">
        <v>0</v>
      </c>
      <c r="P228" s="119" t="s">
        <v>327</v>
      </c>
    </row>
    <row r="229" spans="8:16">
      <c r="H229" s="116">
        <v>2022</v>
      </c>
      <c r="I229" s="116" t="s">
        <v>349</v>
      </c>
      <c r="J229" s="116" t="s">
        <v>331</v>
      </c>
      <c r="K229" s="118" t="s">
        <v>338</v>
      </c>
      <c r="L229" s="116">
        <v>4</v>
      </c>
      <c r="M229" s="119">
        <f t="shared" ca="1" si="35"/>
        <v>64.640599123732613</v>
      </c>
      <c r="N229" s="119">
        <v>0</v>
      </c>
      <c r="O229" s="119">
        <v>0</v>
      </c>
      <c r="P229" s="119" t="s">
        <v>327</v>
      </c>
    </row>
    <row r="230" spans="8:16">
      <c r="H230" s="116">
        <v>2022</v>
      </c>
      <c r="I230" s="116" t="s">
        <v>349</v>
      </c>
      <c r="J230" s="116" t="s">
        <v>331</v>
      </c>
      <c r="K230" s="118" t="s">
        <v>341</v>
      </c>
      <c r="L230" s="116">
        <v>5</v>
      </c>
      <c r="M230" s="119">
        <f t="shared" ca="1" si="35"/>
        <v>9.6960898685598931</v>
      </c>
      <c r="N230" s="119">
        <v>0</v>
      </c>
      <c r="O230" s="119">
        <v>0</v>
      </c>
      <c r="P230" s="119" t="s">
        <v>327</v>
      </c>
    </row>
    <row r="231" spans="8:16">
      <c r="H231" s="116">
        <v>2022</v>
      </c>
      <c r="I231" s="116" t="s">
        <v>349</v>
      </c>
      <c r="J231" s="116" t="s">
        <v>331</v>
      </c>
      <c r="K231" s="118" t="s">
        <v>342</v>
      </c>
      <c r="L231" s="116">
        <v>1</v>
      </c>
      <c r="M231" s="119">
        <f t="shared" ca="1" si="35"/>
        <v>304.58650307102806</v>
      </c>
      <c r="N231" s="119">
        <v>0</v>
      </c>
      <c r="O231" s="119">
        <v>0</v>
      </c>
      <c r="P231" s="119" t="s">
        <v>327</v>
      </c>
    </row>
    <row r="232" spans="8:16">
      <c r="H232" s="116">
        <v>2022</v>
      </c>
      <c r="I232" s="116" t="s">
        <v>349</v>
      </c>
      <c r="J232" s="116" t="s">
        <v>343</v>
      </c>
      <c r="K232" s="118" t="s">
        <v>289</v>
      </c>
      <c r="L232" s="116">
        <v>2</v>
      </c>
      <c r="M232" s="119">
        <f t="shared" ca="1" si="35"/>
        <v>1266.115415036551</v>
      </c>
      <c r="N232" s="119">
        <v>0</v>
      </c>
      <c r="O232" s="119">
        <v>0</v>
      </c>
      <c r="P232" s="119" t="s">
        <v>327</v>
      </c>
    </row>
    <row r="233" spans="8:16">
      <c r="H233" s="116">
        <v>2022</v>
      </c>
      <c r="I233" s="116" t="s">
        <v>349</v>
      </c>
      <c r="J233" s="116" t="s">
        <v>344</v>
      </c>
      <c r="K233" s="118" t="s">
        <v>291</v>
      </c>
      <c r="L233" s="116">
        <v>2</v>
      </c>
      <c r="M233" s="119">
        <f t="shared" ca="1" si="35"/>
        <v>129.78818333863177</v>
      </c>
      <c r="N233" s="119">
        <v>0</v>
      </c>
      <c r="O233" s="119">
        <v>0</v>
      </c>
      <c r="P233" s="119" t="s">
        <v>345</v>
      </c>
    </row>
    <row r="234" spans="8:16">
      <c r="H234" s="116">
        <v>2022</v>
      </c>
      <c r="I234" s="116" t="s">
        <v>349</v>
      </c>
      <c r="J234" s="116" t="s">
        <v>344</v>
      </c>
      <c r="K234" s="118" t="s">
        <v>292</v>
      </c>
      <c r="L234" s="116">
        <v>3</v>
      </c>
      <c r="M234" s="119">
        <f t="shared" ca="1" si="35"/>
        <v>29.183329310273404</v>
      </c>
      <c r="N234" s="119">
        <v>0</v>
      </c>
      <c r="O234" s="119">
        <v>0</v>
      </c>
      <c r="P234" s="119" t="s">
        <v>345</v>
      </c>
    </row>
    <row r="235" spans="8:16">
      <c r="H235" s="116">
        <v>2022</v>
      </c>
      <c r="I235" s="116" t="s">
        <v>349</v>
      </c>
      <c r="J235" s="116" t="s">
        <v>295</v>
      </c>
      <c r="K235" s="118" t="s">
        <v>295</v>
      </c>
      <c r="L235" s="116">
        <v>2</v>
      </c>
      <c r="M235" s="119">
        <f t="shared" ca="1" si="35"/>
        <v>665.41793215607106</v>
      </c>
      <c r="N235" s="119">
        <v>0</v>
      </c>
      <c r="O235" s="119">
        <v>0</v>
      </c>
      <c r="P235" s="119" t="s">
        <v>327</v>
      </c>
    </row>
    <row r="236" spans="8:16">
      <c r="H236" s="116">
        <v>2022</v>
      </c>
      <c r="I236" s="116" t="s">
        <v>350</v>
      </c>
      <c r="J236" s="116" t="s">
        <v>30</v>
      </c>
      <c r="K236" s="118" t="s">
        <v>31</v>
      </c>
      <c r="L236" s="116">
        <v>255</v>
      </c>
      <c r="M236" s="119">
        <f t="shared" ref="M236:M253" ca="1" si="36">X32</f>
        <v>0</v>
      </c>
      <c r="N236" s="119">
        <v>0</v>
      </c>
      <c r="O236" s="119">
        <v>0</v>
      </c>
      <c r="P236" s="119" t="s">
        <v>327</v>
      </c>
    </row>
    <row r="237" spans="8:16">
      <c r="H237" s="116">
        <v>2022</v>
      </c>
      <c r="I237" s="116" t="s">
        <v>350</v>
      </c>
      <c r="J237" s="116" t="s">
        <v>30</v>
      </c>
      <c r="K237" s="118" t="s">
        <v>328</v>
      </c>
      <c r="L237" s="116">
        <v>165</v>
      </c>
      <c r="M237" s="119">
        <f t="shared" ca="1" si="36"/>
        <v>6178.6673527841585</v>
      </c>
      <c r="N237" s="119">
        <v>0</v>
      </c>
      <c r="O237" s="119">
        <v>0</v>
      </c>
      <c r="P237" s="119" t="s">
        <v>327</v>
      </c>
    </row>
    <row r="238" spans="8:16">
      <c r="H238" s="116">
        <v>2022</v>
      </c>
      <c r="I238" s="116" t="s">
        <v>350</v>
      </c>
      <c r="J238" s="116" t="s">
        <v>30</v>
      </c>
      <c r="K238" s="118" t="s">
        <v>329</v>
      </c>
      <c r="L238" s="116">
        <v>75</v>
      </c>
      <c r="M238" s="119">
        <f t="shared" ca="1" si="36"/>
        <v>0</v>
      </c>
      <c r="N238" s="119">
        <v>0</v>
      </c>
      <c r="O238" s="119">
        <v>0</v>
      </c>
      <c r="P238" s="119" t="s">
        <v>327</v>
      </c>
    </row>
    <row r="239" spans="8:16">
      <c r="H239" s="116">
        <v>2022</v>
      </c>
      <c r="I239" s="116" t="s">
        <v>350</v>
      </c>
      <c r="J239" s="116" t="s">
        <v>30</v>
      </c>
      <c r="K239" s="118" t="s">
        <v>330</v>
      </c>
      <c r="L239" s="116">
        <v>15</v>
      </c>
      <c r="M239" s="119">
        <f t="shared" ca="1" si="36"/>
        <v>2335.0213704063467</v>
      </c>
      <c r="N239" s="119">
        <v>0</v>
      </c>
      <c r="O239" s="119">
        <v>0</v>
      </c>
      <c r="P239" s="119" t="s">
        <v>327</v>
      </c>
    </row>
    <row r="240" spans="8:16">
      <c r="H240" s="116">
        <v>2022</v>
      </c>
      <c r="I240" s="116" t="s">
        <v>350</v>
      </c>
      <c r="J240" s="116" t="s">
        <v>278</v>
      </c>
      <c r="K240" s="118" t="s">
        <v>278</v>
      </c>
      <c r="L240" s="116">
        <v>50</v>
      </c>
      <c r="M240" s="119">
        <f t="shared" ca="1" si="36"/>
        <v>314974.73127304134</v>
      </c>
      <c r="N240" s="119">
        <f ca="1">X109</f>
        <v>43487.990550011236</v>
      </c>
      <c r="O240" s="119">
        <f ca="1">X117</f>
        <v>4565.056262381835</v>
      </c>
      <c r="P240" s="119" t="s">
        <v>327</v>
      </c>
    </row>
    <row r="241" spans="8:16">
      <c r="H241" s="116">
        <v>2022</v>
      </c>
      <c r="I241" s="116" t="s">
        <v>350</v>
      </c>
      <c r="J241" s="116" t="s">
        <v>331</v>
      </c>
      <c r="K241" s="118" t="s">
        <v>332</v>
      </c>
      <c r="L241" s="116">
        <v>62.5</v>
      </c>
      <c r="M241" s="119">
        <f t="shared" ca="1" si="36"/>
        <v>4719.8153389323434</v>
      </c>
      <c r="N241" s="119">
        <v>0</v>
      </c>
      <c r="O241" s="119">
        <v>0</v>
      </c>
      <c r="P241" s="119" t="s">
        <v>327</v>
      </c>
    </row>
    <row r="242" spans="8:16">
      <c r="H242" s="116">
        <v>2022</v>
      </c>
      <c r="I242" s="116" t="s">
        <v>350</v>
      </c>
      <c r="J242" s="116" t="s">
        <v>331</v>
      </c>
      <c r="K242" s="118" t="s">
        <v>333</v>
      </c>
      <c r="L242" s="116">
        <v>1</v>
      </c>
      <c r="M242" s="119">
        <f t="shared" ca="1" si="36"/>
        <v>1858.749095295901</v>
      </c>
      <c r="N242" s="119">
        <v>0</v>
      </c>
      <c r="O242" s="119">
        <v>0</v>
      </c>
      <c r="P242" s="119" t="s">
        <v>327</v>
      </c>
    </row>
    <row r="243" spans="8:16">
      <c r="H243" s="116">
        <v>2022</v>
      </c>
      <c r="I243" s="116" t="s">
        <v>350</v>
      </c>
      <c r="J243" s="116" t="s">
        <v>331</v>
      </c>
      <c r="K243" s="118" t="s">
        <v>334</v>
      </c>
      <c r="L243" s="116">
        <v>1</v>
      </c>
      <c r="M243" s="119">
        <f t="shared" ca="1" si="36"/>
        <v>600.70377040957101</v>
      </c>
      <c r="N243" s="119">
        <v>0</v>
      </c>
      <c r="O243" s="119">
        <v>0</v>
      </c>
      <c r="P243" s="119" t="s">
        <v>327</v>
      </c>
    </row>
    <row r="244" spans="8:16">
      <c r="H244" s="116">
        <v>2022</v>
      </c>
      <c r="I244" s="116" t="s">
        <v>350</v>
      </c>
      <c r="J244" s="116" t="s">
        <v>331</v>
      </c>
      <c r="K244" s="118" t="s">
        <v>335</v>
      </c>
      <c r="L244" s="116">
        <v>2</v>
      </c>
      <c r="M244" s="119">
        <f t="shared" ca="1" si="36"/>
        <v>429.07412172112208</v>
      </c>
      <c r="N244" s="119">
        <v>0</v>
      </c>
      <c r="O244" s="119">
        <v>0</v>
      </c>
      <c r="P244" s="119" t="s">
        <v>327</v>
      </c>
    </row>
    <row r="245" spans="8:16">
      <c r="H245" s="116">
        <v>2022</v>
      </c>
      <c r="I245" s="116" t="s">
        <v>350</v>
      </c>
      <c r="J245" s="116" t="s">
        <v>331</v>
      </c>
      <c r="K245" s="118" t="s">
        <v>336</v>
      </c>
      <c r="L245" s="116">
        <v>2</v>
      </c>
      <c r="M245" s="119">
        <f t="shared" ca="1" si="36"/>
        <v>7454.2189018367098</v>
      </c>
      <c r="N245" s="119">
        <v>0</v>
      </c>
      <c r="O245" s="119">
        <v>0</v>
      </c>
      <c r="P245" s="119" t="s">
        <v>327</v>
      </c>
    </row>
    <row r="246" spans="8:16">
      <c r="H246" s="116">
        <v>2022</v>
      </c>
      <c r="I246" s="116" t="s">
        <v>350</v>
      </c>
      <c r="J246" s="116" t="s">
        <v>331</v>
      </c>
      <c r="K246" s="118" t="s">
        <v>337</v>
      </c>
      <c r="L246" s="116">
        <v>1</v>
      </c>
      <c r="M246" s="119">
        <f t="shared" ca="1" si="36"/>
        <v>95.940973616842911</v>
      </c>
      <c r="N246" s="119">
        <v>0</v>
      </c>
      <c r="O246" s="119">
        <v>0</v>
      </c>
      <c r="P246" s="119" t="s">
        <v>327</v>
      </c>
    </row>
    <row r="247" spans="8:16">
      <c r="H247" s="116">
        <v>2022</v>
      </c>
      <c r="I247" s="116" t="s">
        <v>350</v>
      </c>
      <c r="J247" s="116" t="s">
        <v>331</v>
      </c>
      <c r="K247" s="118" t="s">
        <v>338</v>
      </c>
      <c r="L247" s="116">
        <v>4</v>
      </c>
      <c r="M247" s="119">
        <f t="shared" ca="1" si="36"/>
        <v>686.51859475379536</v>
      </c>
      <c r="N247" s="119">
        <v>0</v>
      </c>
      <c r="O247" s="119">
        <v>0</v>
      </c>
      <c r="P247" s="119" t="s">
        <v>327</v>
      </c>
    </row>
    <row r="248" spans="8:16">
      <c r="H248" s="116">
        <v>2022</v>
      </c>
      <c r="I248" s="116" t="s">
        <v>350</v>
      </c>
      <c r="J248" s="116" t="s">
        <v>331</v>
      </c>
      <c r="K248" s="118" t="s">
        <v>341</v>
      </c>
      <c r="L248" s="116">
        <v>5</v>
      </c>
      <c r="M248" s="119">
        <f t="shared" ca="1" si="36"/>
        <v>102.9777892130693</v>
      </c>
      <c r="N248" s="119">
        <v>0</v>
      </c>
      <c r="O248" s="119">
        <v>0</v>
      </c>
      <c r="P248" s="119" t="s">
        <v>327</v>
      </c>
    </row>
    <row r="249" spans="8:16">
      <c r="H249" s="116">
        <v>2022</v>
      </c>
      <c r="I249" s="116" t="s">
        <v>350</v>
      </c>
      <c r="J249" s="116" t="s">
        <v>331</v>
      </c>
      <c r="K249" s="118" t="s">
        <v>342</v>
      </c>
      <c r="L249" s="116">
        <v>1</v>
      </c>
      <c r="M249" s="119">
        <f t="shared" ca="1" si="36"/>
        <v>3234.8756184798835</v>
      </c>
      <c r="N249" s="119">
        <v>0</v>
      </c>
      <c r="O249" s="119">
        <v>0</v>
      </c>
      <c r="P249" s="119" t="s">
        <v>327</v>
      </c>
    </row>
    <row r="250" spans="8:16">
      <c r="H250" s="116">
        <v>2022</v>
      </c>
      <c r="I250" s="116" t="s">
        <v>350</v>
      </c>
      <c r="J250" s="116" t="s">
        <v>343</v>
      </c>
      <c r="K250" s="118" t="s">
        <v>289</v>
      </c>
      <c r="L250" s="116">
        <v>2</v>
      </c>
      <c r="M250" s="119">
        <f t="shared" ca="1" si="36"/>
        <v>13446.839715442591</v>
      </c>
      <c r="N250" s="119">
        <v>0</v>
      </c>
      <c r="O250" s="119">
        <v>0</v>
      </c>
      <c r="P250" s="119" t="s">
        <v>327</v>
      </c>
    </row>
    <row r="251" spans="8:16">
      <c r="H251" s="116">
        <v>2022</v>
      </c>
      <c r="I251" s="116" t="s">
        <v>350</v>
      </c>
      <c r="J251" s="116" t="s">
        <v>344</v>
      </c>
      <c r="K251" s="118" t="s">
        <v>291</v>
      </c>
      <c r="L251" s="116">
        <v>2</v>
      </c>
      <c r="M251" s="119">
        <f t="shared" ca="1" si="36"/>
        <v>1378.4216490742872</v>
      </c>
      <c r="N251" s="119">
        <v>0</v>
      </c>
      <c r="O251" s="119">
        <v>0</v>
      </c>
      <c r="P251" s="119" t="s">
        <v>345</v>
      </c>
    </row>
    <row r="252" spans="8:16">
      <c r="H252" s="116">
        <v>2022</v>
      </c>
      <c r="I252" s="116" t="s">
        <v>350</v>
      </c>
      <c r="J252" s="116" t="s">
        <v>344</v>
      </c>
      <c r="K252" s="118" t="s">
        <v>292</v>
      </c>
      <c r="L252" s="116">
        <v>3</v>
      </c>
      <c r="M252" s="119">
        <f t="shared" ca="1" si="36"/>
        <v>309.94295380796348</v>
      </c>
      <c r="N252" s="119">
        <v>0</v>
      </c>
      <c r="O252" s="119">
        <v>0</v>
      </c>
      <c r="P252" s="119" t="s">
        <v>345</v>
      </c>
    </row>
    <row r="253" spans="8:16">
      <c r="H253" s="116">
        <v>2022</v>
      </c>
      <c r="I253" s="116" t="s">
        <v>350</v>
      </c>
      <c r="J253" s="116" t="s">
        <v>295</v>
      </c>
      <c r="K253" s="118" t="s">
        <v>295</v>
      </c>
      <c r="L253" s="116">
        <v>2</v>
      </c>
      <c r="M253" s="119">
        <f t="shared" ca="1" si="36"/>
        <v>7067.1031812890697</v>
      </c>
      <c r="N253" s="119">
        <v>0</v>
      </c>
      <c r="O253" s="119">
        <v>0</v>
      </c>
      <c r="P253" s="119" t="s">
        <v>327</v>
      </c>
    </row>
    <row r="254" spans="8:16">
      <c r="H254" s="116">
        <v>2022</v>
      </c>
      <c r="I254" s="116" t="s">
        <v>352</v>
      </c>
      <c r="J254" s="116" t="s">
        <v>30</v>
      </c>
      <c r="K254" s="118" t="s">
        <v>31</v>
      </c>
      <c r="L254" s="116">
        <v>255</v>
      </c>
      <c r="M254" s="119">
        <f t="shared" ref="M254:M271" ca="1" si="37">Y32</f>
        <v>0</v>
      </c>
      <c r="N254" s="119">
        <v>0</v>
      </c>
      <c r="O254" s="119">
        <v>0</v>
      </c>
      <c r="P254" s="119" t="s">
        <v>327</v>
      </c>
    </row>
    <row r="255" spans="8:16">
      <c r="H255" s="116">
        <v>2022</v>
      </c>
      <c r="I255" s="116" t="s">
        <v>352</v>
      </c>
      <c r="J255" s="116" t="s">
        <v>30</v>
      </c>
      <c r="K255" s="118" t="s">
        <v>328</v>
      </c>
      <c r="L255" s="116">
        <v>165</v>
      </c>
      <c r="M255" s="119">
        <f t="shared" ca="1" si="37"/>
        <v>8994.5037358148729</v>
      </c>
      <c r="N255" s="119">
        <v>0</v>
      </c>
      <c r="O255" s="119">
        <v>0</v>
      </c>
      <c r="P255" s="119" t="s">
        <v>327</v>
      </c>
    </row>
    <row r="256" spans="8:16">
      <c r="H256" s="116">
        <v>2022</v>
      </c>
      <c r="I256" s="116" t="s">
        <v>352</v>
      </c>
      <c r="J256" s="116" t="s">
        <v>30</v>
      </c>
      <c r="K256" s="118" t="s">
        <v>329</v>
      </c>
      <c r="L256" s="116">
        <v>75</v>
      </c>
      <c r="M256" s="119">
        <f t="shared" ca="1" si="37"/>
        <v>0</v>
      </c>
      <c r="N256" s="119">
        <v>0</v>
      </c>
      <c r="O256" s="119">
        <v>0</v>
      </c>
      <c r="P256" s="119" t="s">
        <v>327</v>
      </c>
    </row>
    <row r="257" spans="8:16">
      <c r="H257" s="116">
        <v>2022</v>
      </c>
      <c r="I257" s="116" t="s">
        <v>352</v>
      </c>
      <c r="J257" s="116" t="s">
        <v>30</v>
      </c>
      <c r="K257" s="118" t="s">
        <v>330</v>
      </c>
      <c r="L257" s="116">
        <v>15</v>
      </c>
      <c r="M257" s="119">
        <f t="shared" ca="1" si="37"/>
        <v>3399.1728701600377</v>
      </c>
      <c r="N257" s="119">
        <v>0</v>
      </c>
      <c r="O257" s="119">
        <v>0</v>
      </c>
      <c r="P257" s="119" t="s">
        <v>327</v>
      </c>
    </row>
    <row r="258" spans="8:16">
      <c r="H258" s="116">
        <v>2022</v>
      </c>
      <c r="I258" s="116" t="s">
        <v>352</v>
      </c>
      <c r="J258" s="116" t="s">
        <v>278</v>
      </c>
      <c r="K258" s="118" t="s">
        <v>278</v>
      </c>
      <c r="L258" s="116">
        <v>100</v>
      </c>
      <c r="M258" s="119">
        <f t="shared" ca="1" si="37"/>
        <v>458519.81266576267</v>
      </c>
      <c r="N258" s="119">
        <f ca="1">Y109</f>
        <v>393634.50667675212</v>
      </c>
      <c r="O258" s="119">
        <f ca="1">Y117</f>
        <v>41320.917500839256</v>
      </c>
      <c r="P258" s="119" t="s">
        <v>327</v>
      </c>
    </row>
    <row r="259" spans="8:16">
      <c r="H259" s="116">
        <v>2022</v>
      </c>
      <c r="I259" s="116" t="s">
        <v>352</v>
      </c>
      <c r="J259" s="116" t="s">
        <v>331</v>
      </c>
      <c r="K259" s="118" t="s">
        <v>332</v>
      </c>
      <c r="L259" s="116">
        <v>62.5</v>
      </c>
      <c r="M259" s="119">
        <f t="shared" ca="1" si="37"/>
        <v>6870.801464858584</v>
      </c>
      <c r="N259" s="119">
        <v>0</v>
      </c>
      <c r="O259" s="119">
        <v>0</v>
      </c>
      <c r="P259" s="119" t="s">
        <v>327</v>
      </c>
    </row>
    <row r="260" spans="8:16">
      <c r="H260" s="116">
        <v>2022</v>
      </c>
      <c r="I260" s="116" t="s">
        <v>352</v>
      </c>
      <c r="J260" s="116" t="s">
        <v>331</v>
      </c>
      <c r="K260" s="118" t="s">
        <v>333</v>
      </c>
      <c r="L260" s="116">
        <v>1</v>
      </c>
      <c r="M260" s="119">
        <f t="shared" ca="1" si="37"/>
        <v>2705.8465405243078</v>
      </c>
      <c r="N260" s="119">
        <v>0</v>
      </c>
      <c r="O260" s="119">
        <v>0</v>
      </c>
      <c r="P260" s="119" t="s">
        <v>327</v>
      </c>
    </row>
    <row r="261" spans="8:16">
      <c r="H261" s="116">
        <v>2022</v>
      </c>
      <c r="I261" s="116" t="s">
        <v>352</v>
      </c>
      <c r="J261" s="116" t="s">
        <v>331</v>
      </c>
      <c r="K261" s="118" t="s">
        <v>334</v>
      </c>
      <c r="L261" s="116">
        <v>1</v>
      </c>
      <c r="M261" s="119">
        <f t="shared" ca="1" si="37"/>
        <v>874.46564098200156</v>
      </c>
      <c r="N261" s="119">
        <v>0</v>
      </c>
      <c r="O261" s="119">
        <v>0</v>
      </c>
      <c r="P261" s="119" t="s">
        <v>327</v>
      </c>
    </row>
    <row r="262" spans="8:16">
      <c r="H262" s="116">
        <v>2022</v>
      </c>
      <c r="I262" s="116" t="s">
        <v>352</v>
      </c>
      <c r="J262" s="116" t="s">
        <v>331</v>
      </c>
      <c r="K262" s="118" t="s">
        <v>335</v>
      </c>
      <c r="L262" s="116">
        <v>2</v>
      </c>
      <c r="M262" s="119">
        <f t="shared" ca="1" si="37"/>
        <v>624.618314987144</v>
      </c>
      <c r="N262" s="119">
        <v>0</v>
      </c>
      <c r="O262" s="119">
        <v>0</v>
      </c>
      <c r="P262" s="119" t="s">
        <v>327</v>
      </c>
    </row>
    <row r="263" spans="8:16">
      <c r="H263" s="116">
        <v>2022</v>
      </c>
      <c r="I263" s="116" t="s">
        <v>352</v>
      </c>
      <c r="J263" s="116" t="s">
        <v>331</v>
      </c>
      <c r="K263" s="118" t="s">
        <v>336</v>
      </c>
      <c r="L263" s="116">
        <v>2</v>
      </c>
      <c r="M263" s="119">
        <f t="shared" ca="1" si="37"/>
        <v>10851.369062608655</v>
      </c>
      <c r="N263" s="119">
        <v>0</v>
      </c>
      <c r="O263" s="119">
        <v>0</v>
      </c>
      <c r="P263" s="119" t="s">
        <v>327</v>
      </c>
    </row>
    <row r="264" spans="8:16">
      <c r="H264" s="116">
        <v>2022</v>
      </c>
      <c r="I264" s="116" t="s">
        <v>352</v>
      </c>
      <c r="J264" s="116" t="s">
        <v>331</v>
      </c>
      <c r="K264" s="118" t="s">
        <v>337</v>
      </c>
      <c r="L264" s="116">
        <v>1</v>
      </c>
      <c r="M264" s="119">
        <f t="shared" ca="1" si="37"/>
        <v>139.66465523112541</v>
      </c>
      <c r="N264" s="119">
        <v>0</v>
      </c>
      <c r="O264" s="119">
        <v>0</v>
      </c>
      <c r="P264" s="119" t="s">
        <v>327</v>
      </c>
    </row>
    <row r="265" spans="8:16">
      <c r="H265" s="116">
        <v>2022</v>
      </c>
      <c r="I265" s="116" t="s">
        <v>352</v>
      </c>
      <c r="J265" s="116" t="s">
        <v>331</v>
      </c>
      <c r="K265" s="118" t="s">
        <v>338</v>
      </c>
      <c r="L265" s="116">
        <v>4</v>
      </c>
      <c r="M265" s="119">
        <f t="shared" ca="1" si="37"/>
        <v>999.38930397943034</v>
      </c>
      <c r="N265" s="119">
        <v>0</v>
      </c>
      <c r="O265" s="119">
        <v>0</v>
      </c>
      <c r="P265" s="119" t="s">
        <v>327</v>
      </c>
    </row>
    <row r="266" spans="8:16">
      <c r="H266" s="116">
        <v>2022</v>
      </c>
      <c r="I266" s="116" t="s">
        <v>352</v>
      </c>
      <c r="J266" s="116" t="s">
        <v>331</v>
      </c>
      <c r="K266" s="118" t="s">
        <v>341</v>
      </c>
      <c r="L266" s="116">
        <v>5</v>
      </c>
      <c r="M266" s="119">
        <f t="shared" ca="1" si="37"/>
        <v>149.90839559691454</v>
      </c>
      <c r="N266" s="119">
        <v>0</v>
      </c>
      <c r="O266" s="119">
        <v>0</v>
      </c>
      <c r="P266" s="119" t="s">
        <v>327</v>
      </c>
    </row>
    <row r="267" spans="8:16">
      <c r="H267" s="116">
        <v>2022</v>
      </c>
      <c r="I267" s="116" t="s">
        <v>352</v>
      </c>
      <c r="J267" s="116" t="s">
        <v>331</v>
      </c>
      <c r="K267" s="118" t="s">
        <v>342</v>
      </c>
      <c r="L267" s="116">
        <v>1</v>
      </c>
      <c r="M267" s="119">
        <f t="shared" ca="1" si="37"/>
        <v>4709.1224003510761</v>
      </c>
      <c r="N267" s="119">
        <v>0</v>
      </c>
      <c r="O267" s="119">
        <v>0</v>
      </c>
      <c r="P267" s="119" t="s">
        <v>327</v>
      </c>
    </row>
    <row r="268" spans="8:16">
      <c r="H268" s="116">
        <v>2022</v>
      </c>
      <c r="I268" s="116" t="s">
        <v>352</v>
      </c>
      <c r="J268" s="116" t="s">
        <v>343</v>
      </c>
      <c r="K268" s="118" t="s">
        <v>289</v>
      </c>
      <c r="L268" s="116">
        <v>2</v>
      </c>
      <c r="M268" s="119">
        <f t="shared" ca="1" si="37"/>
        <v>19575.038297045103</v>
      </c>
      <c r="N268" s="119">
        <v>0</v>
      </c>
      <c r="O268" s="119">
        <v>0</v>
      </c>
      <c r="P268" s="119" t="s">
        <v>327</v>
      </c>
    </row>
    <row r="269" spans="8:16">
      <c r="H269" s="116">
        <v>2022</v>
      </c>
      <c r="I269" s="116" t="s">
        <v>352</v>
      </c>
      <c r="J269" s="116" t="s">
        <v>344</v>
      </c>
      <c r="K269" s="118" t="s">
        <v>291</v>
      </c>
      <c r="L269" s="116">
        <v>2</v>
      </c>
      <c r="M269" s="119">
        <f t="shared" ca="1" si="37"/>
        <v>2006.6169554410524</v>
      </c>
      <c r="N269" s="119">
        <v>0</v>
      </c>
      <c r="O269" s="119">
        <v>0</v>
      </c>
      <c r="P269" s="119" t="s">
        <v>345</v>
      </c>
    </row>
    <row r="270" spans="8:16">
      <c r="H270" s="116">
        <v>2022</v>
      </c>
      <c r="I270" s="116" t="s">
        <v>352</v>
      </c>
      <c r="J270" s="116" t="s">
        <v>344</v>
      </c>
      <c r="K270" s="118" t="s">
        <v>292</v>
      </c>
      <c r="L270" s="116">
        <v>3</v>
      </c>
      <c r="M270" s="119">
        <f t="shared" ca="1" si="37"/>
        <v>451.19487694365461</v>
      </c>
      <c r="N270" s="119">
        <v>0</v>
      </c>
      <c r="O270" s="119">
        <v>0</v>
      </c>
      <c r="P270" s="119" t="s">
        <v>345</v>
      </c>
    </row>
    <row r="271" spans="8:16">
      <c r="H271" s="116">
        <v>2022</v>
      </c>
      <c r="I271" s="116" t="s">
        <v>352</v>
      </c>
      <c r="J271" s="116" t="s">
        <v>295</v>
      </c>
      <c r="K271" s="118" t="s">
        <v>295</v>
      </c>
      <c r="L271" s="116">
        <v>2</v>
      </c>
      <c r="M271" s="119">
        <f t="shared" ca="1" si="37"/>
        <v>10287.831070376489</v>
      </c>
      <c r="N271" s="119">
        <v>0</v>
      </c>
      <c r="O271" s="119">
        <v>0</v>
      </c>
      <c r="P271" s="119" t="s">
        <v>327</v>
      </c>
    </row>
    <row r="272" spans="8:16">
      <c r="H272" s="116">
        <v>2022</v>
      </c>
      <c r="I272" s="116" t="s">
        <v>354</v>
      </c>
      <c r="J272" s="116" t="s">
        <v>30</v>
      </c>
      <c r="K272" s="118" t="s">
        <v>31</v>
      </c>
      <c r="L272" s="116">
        <v>255</v>
      </c>
      <c r="M272" s="119">
        <f t="shared" ref="M272:M289" ca="1" si="38">Z32</f>
        <v>0</v>
      </c>
      <c r="N272" s="119">
        <v>0</v>
      </c>
      <c r="O272" s="119">
        <v>0</v>
      </c>
      <c r="P272" s="119" t="s">
        <v>327</v>
      </c>
    </row>
    <row r="273" spans="8:16">
      <c r="H273" s="116">
        <v>2022</v>
      </c>
      <c r="I273" s="116" t="s">
        <v>354</v>
      </c>
      <c r="J273" s="116" t="s">
        <v>30</v>
      </c>
      <c r="K273" s="118" t="s">
        <v>328</v>
      </c>
      <c r="L273" s="116">
        <v>165</v>
      </c>
      <c r="M273" s="119">
        <f t="shared" ca="1" si="38"/>
        <v>2066.7629807203944</v>
      </c>
      <c r="N273" s="119">
        <v>0</v>
      </c>
      <c r="O273" s="119">
        <v>0</v>
      </c>
      <c r="P273" s="119" t="s">
        <v>327</v>
      </c>
    </row>
    <row r="274" spans="8:16">
      <c r="H274" s="116">
        <v>2022</v>
      </c>
      <c r="I274" s="116" t="s">
        <v>354</v>
      </c>
      <c r="J274" s="116" t="s">
        <v>30</v>
      </c>
      <c r="K274" s="118" t="s">
        <v>329</v>
      </c>
      <c r="L274" s="116">
        <v>75</v>
      </c>
      <c r="M274" s="119">
        <f t="shared" ca="1" si="38"/>
        <v>0</v>
      </c>
      <c r="N274" s="119">
        <v>0</v>
      </c>
      <c r="O274" s="119">
        <v>0</v>
      </c>
      <c r="P274" s="119" t="s">
        <v>327</v>
      </c>
    </row>
    <row r="275" spans="8:16">
      <c r="H275" s="116">
        <v>2022</v>
      </c>
      <c r="I275" s="116" t="s">
        <v>354</v>
      </c>
      <c r="J275" s="116" t="s">
        <v>30</v>
      </c>
      <c r="K275" s="118" t="s">
        <v>330</v>
      </c>
      <c r="L275" s="116">
        <v>15</v>
      </c>
      <c r="M275" s="119">
        <f t="shared" ca="1" si="38"/>
        <v>781.06417646391571</v>
      </c>
      <c r="N275" s="119">
        <v>0</v>
      </c>
      <c r="O275" s="119">
        <v>0</v>
      </c>
      <c r="P275" s="119" t="s">
        <v>327</v>
      </c>
    </row>
    <row r="276" spans="8:16">
      <c r="H276" s="116">
        <v>2022</v>
      </c>
      <c r="I276" s="116" t="s">
        <v>354</v>
      </c>
      <c r="J276" s="116" t="s">
        <v>278</v>
      </c>
      <c r="K276" s="118" t="s">
        <v>278</v>
      </c>
      <c r="L276" s="116">
        <v>100</v>
      </c>
      <c r="M276" s="119">
        <f t="shared" ca="1" si="38"/>
        <v>105358.98395050188</v>
      </c>
      <c r="N276" s="119">
        <f ca="1">Z109</f>
        <v>266420.0464840944</v>
      </c>
      <c r="O276" s="119">
        <f ca="1">Z117</f>
        <v>27966.859039569037</v>
      </c>
      <c r="P276" s="119" t="s">
        <v>327</v>
      </c>
    </row>
    <row r="277" spans="8:16">
      <c r="H277" s="116">
        <v>2022</v>
      </c>
      <c r="I277" s="116" t="s">
        <v>354</v>
      </c>
      <c r="J277" s="116" t="s">
        <v>331</v>
      </c>
      <c r="K277" s="118" t="s">
        <v>332</v>
      </c>
      <c r="L277" s="116">
        <v>62.5</v>
      </c>
      <c r="M277" s="119">
        <f t="shared" ca="1" si="38"/>
        <v>1578.7772769391902</v>
      </c>
      <c r="N277" s="119">
        <v>0</v>
      </c>
      <c r="O277" s="119">
        <v>0</v>
      </c>
      <c r="P277" s="119" t="s">
        <v>327</v>
      </c>
    </row>
    <row r="278" spans="8:16">
      <c r="H278" s="116">
        <v>2022</v>
      </c>
      <c r="I278" s="116" t="s">
        <v>354</v>
      </c>
      <c r="J278" s="116" t="s">
        <v>331</v>
      </c>
      <c r="K278" s="118" t="s">
        <v>333</v>
      </c>
      <c r="L278" s="116">
        <v>1</v>
      </c>
      <c r="M278" s="119">
        <f t="shared" ca="1" si="38"/>
        <v>621.75119670005199</v>
      </c>
      <c r="N278" s="119">
        <v>0</v>
      </c>
      <c r="O278" s="119">
        <v>0</v>
      </c>
      <c r="P278" s="119" t="s">
        <v>327</v>
      </c>
    </row>
    <row r="279" spans="8:16">
      <c r="H279" s="116">
        <v>2022</v>
      </c>
      <c r="I279" s="116" t="s">
        <v>354</v>
      </c>
      <c r="J279" s="116" t="s">
        <v>331</v>
      </c>
      <c r="K279" s="118" t="s">
        <v>334</v>
      </c>
      <c r="L279" s="116">
        <v>1</v>
      </c>
      <c r="M279" s="119">
        <f t="shared" ca="1" si="38"/>
        <v>200.93528979226056</v>
      </c>
      <c r="N279" s="119">
        <v>0</v>
      </c>
      <c r="O279" s="119">
        <v>0</v>
      </c>
      <c r="P279" s="119" t="s">
        <v>327</v>
      </c>
    </row>
    <row r="280" spans="8:16">
      <c r="H280" s="116">
        <v>2022</v>
      </c>
      <c r="I280" s="116" t="s">
        <v>354</v>
      </c>
      <c r="J280" s="116" t="s">
        <v>331</v>
      </c>
      <c r="K280" s="118" t="s">
        <v>335</v>
      </c>
      <c r="L280" s="116">
        <v>2</v>
      </c>
      <c r="M280" s="119">
        <f t="shared" ca="1" si="38"/>
        <v>143.52520699447183</v>
      </c>
      <c r="N280" s="119">
        <v>0</v>
      </c>
      <c r="O280" s="119">
        <v>0</v>
      </c>
      <c r="P280" s="119" t="s">
        <v>327</v>
      </c>
    </row>
    <row r="281" spans="8:16">
      <c r="H281" s="116">
        <v>2022</v>
      </c>
      <c r="I281" s="116" t="s">
        <v>354</v>
      </c>
      <c r="J281" s="116" t="s">
        <v>331</v>
      </c>
      <c r="K281" s="118" t="s">
        <v>336</v>
      </c>
      <c r="L281" s="116">
        <v>2</v>
      </c>
      <c r="M281" s="119">
        <f t="shared" ca="1" si="38"/>
        <v>2493.4347160735601</v>
      </c>
      <c r="N281" s="119">
        <v>0</v>
      </c>
      <c r="O281" s="119">
        <v>0</v>
      </c>
      <c r="P281" s="119" t="s">
        <v>327</v>
      </c>
    </row>
    <row r="282" spans="8:16">
      <c r="H282" s="116">
        <v>2022</v>
      </c>
      <c r="I282" s="116" t="s">
        <v>354</v>
      </c>
      <c r="J282" s="116" t="s">
        <v>331</v>
      </c>
      <c r="K282" s="118" t="s">
        <v>337</v>
      </c>
      <c r="L282" s="116">
        <v>1</v>
      </c>
      <c r="M282" s="119">
        <f t="shared" ca="1" si="38"/>
        <v>32.092236283963906</v>
      </c>
      <c r="N282" s="119">
        <v>0</v>
      </c>
      <c r="O282" s="119">
        <v>0</v>
      </c>
      <c r="P282" s="119" t="s">
        <v>327</v>
      </c>
    </row>
    <row r="283" spans="8:16">
      <c r="H283" s="116">
        <v>2022</v>
      </c>
      <c r="I283" s="116" t="s">
        <v>354</v>
      </c>
      <c r="J283" s="116" t="s">
        <v>331</v>
      </c>
      <c r="K283" s="118" t="s">
        <v>338</v>
      </c>
      <c r="L283" s="116">
        <v>4</v>
      </c>
      <c r="M283" s="119">
        <f t="shared" ca="1" si="38"/>
        <v>229.64033119115493</v>
      </c>
      <c r="N283" s="119">
        <v>0</v>
      </c>
      <c r="O283" s="119">
        <v>0</v>
      </c>
      <c r="P283" s="119" t="s">
        <v>327</v>
      </c>
    </row>
    <row r="284" spans="8:16">
      <c r="H284" s="116">
        <v>2022</v>
      </c>
      <c r="I284" s="116" t="s">
        <v>354</v>
      </c>
      <c r="J284" s="116" t="s">
        <v>331</v>
      </c>
      <c r="K284" s="118" t="s">
        <v>341</v>
      </c>
      <c r="L284" s="116">
        <v>5</v>
      </c>
      <c r="M284" s="119">
        <f t="shared" ca="1" si="38"/>
        <v>34.446049678673241</v>
      </c>
      <c r="N284" s="119">
        <v>0</v>
      </c>
      <c r="O284" s="119">
        <v>0</v>
      </c>
      <c r="P284" s="119" t="s">
        <v>327</v>
      </c>
    </row>
    <row r="285" spans="8:16">
      <c r="H285" s="116">
        <v>2022</v>
      </c>
      <c r="I285" s="116" t="s">
        <v>354</v>
      </c>
      <c r="J285" s="116" t="s">
        <v>331</v>
      </c>
      <c r="K285" s="118" t="s">
        <v>342</v>
      </c>
      <c r="L285" s="116">
        <v>1</v>
      </c>
      <c r="M285" s="119">
        <f t="shared" ca="1" si="38"/>
        <v>1082.0652405727219</v>
      </c>
      <c r="N285" s="119">
        <v>0</v>
      </c>
      <c r="O285" s="119">
        <v>0</v>
      </c>
      <c r="P285" s="119" t="s">
        <v>327</v>
      </c>
    </row>
    <row r="286" spans="8:16">
      <c r="H286" s="116">
        <v>2022</v>
      </c>
      <c r="I286" s="116" t="s">
        <v>354</v>
      </c>
      <c r="J286" s="116" t="s">
        <v>343</v>
      </c>
      <c r="K286" s="118" t="s">
        <v>289</v>
      </c>
      <c r="L286" s="116">
        <v>2</v>
      </c>
      <c r="M286" s="119">
        <f t="shared" ca="1" si="38"/>
        <v>4497.9651670411522</v>
      </c>
      <c r="N286" s="119">
        <v>0</v>
      </c>
      <c r="O286" s="119">
        <v>0</v>
      </c>
      <c r="P286" s="119" t="s">
        <v>327</v>
      </c>
    </row>
    <row r="287" spans="8:16">
      <c r="H287" s="116">
        <v>2022</v>
      </c>
      <c r="I287" s="116" t="s">
        <v>354</v>
      </c>
      <c r="J287" s="116" t="s">
        <v>344</v>
      </c>
      <c r="K287" s="118" t="s">
        <v>291</v>
      </c>
      <c r="L287" s="116">
        <v>2</v>
      </c>
      <c r="M287" s="119">
        <f t="shared" ca="1" si="38"/>
        <v>461.08176301910322</v>
      </c>
      <c r="N287" s="119">
        <v>0</v>
      </c>
      <c r="O287" s="119">
        <v>0</v>
      </c>
      <c r="P287" s="119" t="s">
        <v>345</v>
      </c>
    </row>
    <row r="288" spans="8:16">
      <c r="H288" s="116">
        <v>2022</v>
      </c>
      <c r="I288" s="116" t="s">
        <v>354</v>
      </c>
      <c r="J288" s="116" t="s">
        <v>344</v>
      </c>
      <c r="K288" s="118" t="s">
        <v>292</v>
      </c>
      <c r="L288" s="116">
        <v>3</v>
      </c>
      <c r="M288" s="119">
        <f t="shared" ca="1" si="38"/>
        <v>103.67585540541847</v>
      </c>
      <c r="N288" s="119">
        <v>0</v>
      </c>
      <c r="O288" s="119">
        <v>0</v>
      </c>
      <c r="P288" s="119" t="s">
        <v>345</v>
      </c>
    </row>
    <row r="289" spans="8:16">
      <c r="H289" s="116">
        <v>2022</v>
      </c>
      <c r="I289" s="116" t="s">
        <v>354</v>
      </c>
      <c r="J289" s="116" t="s">
        <v>295</v>
      </c>
      <c r="K289" s="118" t="s">
        <v>295</v>
      </c>
      <c r="L289" s="116">
        <v>2</v>
      </c>
      <c r="M289" s="119">
        <f t="shared" ca="1" si="38"/>
        <v>2363.9445857913006</v>
      </c>
      <c r="N289" s="119">
        <v>0</v>
      </c>
      <c r="O289" s="119">
        <v>0</v>
      </c>
      <c r="P289" s="119" t="s">
        <v>327</v>
      </c>
    </row>
    <row r="290" spans="8:16">
      <c r="H290" s="116">
        <v>2023</v>
      </c>
      <c r="I290" s="116" t="s">
        <v>326</v>
      </c>
      <c r="J290" s="116" t="s">
        <v>30</v>
      </c>
      <c r="K290" s="118" t="s">
        <v>31</v>
      </c>
      <c r="L290" s="116">
        <v>255</v>
      </c>
      <c r="M290" s="119">
        <f t="shared" ref="M290:M307" ca="1" si="39">S50</f>
        <v>0</v>
      </c>
      <c r="N290" s="119">
        <v>0</v>
      </c>
      <c r="O290" s="119">
        <v>0</v>
      </c>
      <c r="P290" s="119" t="s">
        <v>327</v>
      </c>
    </row>
    <row r="291" spans="8:16">
      <c r="H291" s="116">
        <v>2023</v>
      </c>
      <c r="I291" s="116" t="s">
        <v>326</v>
      </c>
      <c r="J291" s="116" t="s">
        <v>30</v>
      </c>
      <c r="K291" s="118" t="s">
        <v>328</v>
      </c>
      <c r="L291" s="116">
        <v>165</v>
      </c>
      <c r="M291" s="119">
        <f t="shared" ca="1" si="39"/>
        <v>7238.7379730010471</v>
      </c>
      <c r="N291" s="119">
        <v>0</v>
      </c>
      <c r="O291" s="119">
        <v>0</v>
      </c>
      <c r="P291" s="119" t="s">
        <v>327</v>
      </c>
    </row>
    <row r="292" spans="8:16">
      <c r="H292" s="116">
        <v>2023</v>
      </c>
      <c r="I292" s="116" t="s">
        <v>326</v>
      </c>
      <c r="J292" s="116" t="s">
        <v>30</v>
      </c>
      <c r="K292" s="118" t="s">
        <v>329</v>
      </c>
      <c r="L292" s="116">
        <v>75</v>
      </c>
      <c r="M292" s="119">
        <f t="shared" ca="1" si="39"/>
        <v>0</v>
      </c>
      <c r="N292" s="119">
        <v>0</v>
      </c>
      <c r="O292" s="119">
        <v>0</v>
      </c>
      <c r="P292" s="119" t="s">
        <v>327</v>
      </c>
    </row>
    <row r="293" spans="8:16">
      <c r="H293" s="116">
        <v>2023</v>
      </c>
      <c r="I293" s="116" t="s">
        <v>326</v>
      </c>
      <c r="J293" s="116" t="s">
        <v>30</v>
      </c>
      <c r="K293" s="118" t="s">
        <v>330</v>
      </c>
      <c r="L293" s="116">
        <v>15</v>
      </c>
      <c r="M293" s="119">
        <f t="shared" ca="1" si="39"/>
        <v>2735.6397256299792</v>
      </c>
      <c r="N293" s="119">
        <v>0</v>
      </c>
      <c r="O293" s="119">
        <v>0</v>
      </c>
      <c r="P293" s="119" t="s">
        <v>327</v>
      </c>
    </row>
    <row r="294" spans="8:16">
      <c r="H294" s="116">
        <v>2023</v>
      </c>
      <c r="I294" s="116" t="s">
        <v>326</v>
      </c>
      <c r="J294" s="116" t="s">
        <v>278</v>
      </c>
      <c r="K294" s="118" t="s">
        <v>278</v>
      </c>
      <c r="L294" s="116">
        <v>50</v>
      </c>
      <c r="M294" s="119">
        <f t="shared" ca="1" si="39"/>
        <v>369014.77577920893</v>
      </c>
      <c r="N294" s="119">
        <f ca="1">S110</f>
        <v>737942.0462103365</v>
      </c>
      <c r="O294" s="119">
        <f ca="1">S118</f>
        <v>65330.722558508372</v>
      </c>
      <c r="P294" s="119" t="s">
        <v>327</v>
      </c>
    </row>
    <row r="295" spans="8:16">
      <c r="H295" s="116">
        <v>2023</v>
      </c>
      <c r="I295" s="116" t="s">
        <v>326</v>
      </c>
      <c r="J295" s="116" t="s">
        <v>331</v>
      </c>
      <c r="K295" s="118" t="s">
        <v>332</v>
      </c>
      <c r="L295" s="116">
        <v>62.5</v>
      </c>
      <c r="M295" s="119">
        <f t="shared" ca="1" si="39"/>
        <v>5529.5915071535774</v>
      </c>
      <c r="N295" s="119">
        <v>0</v>
      </c>
      <c r="O295" s="119">
        <v>0</v>
      </c>
      <c r="P295" s="119" t="s">
        <v>327</v>
      </c>
    </row>
    <row r="296" spans="8:16">
      <c r="H296" s="116">
        <v>2023</v>
      </c>
      <c r="I296" s="116" t="s">
        <v>326</v>
      </c>
      <c r="J296" s="116" t="s">
        <v>331</v>
      </c>
      <c r="K296" s="118" t="s">
        <v>333</v>
      </c>
      <c r="L296" s="116">
        <v>1</v>
      </c>
      <c r="M296" s="119">
        <f t="shared" ca="1" si="39"/>
        <v>2177.653673544482</v>
      </c>
      <c r="N296" s="119">
        <v>0</v>
      </c>
      <c r="O296" s="119">
        <v>0</v>
      </c>
      <c r="P296" s="119" t="s">
        <v>327</v>
      </c>
    </row>
    <row r="297" spans="8:16">
      <c r="H297" s="116">
        <v>2023</v>
      </c>
      <c r="I297" s="116" t="s">
        <v>326</v>
      </c>
      <c r="J297" s="116" t="s">
        <v>331</v>
      </c>
      <c r="K297" s="118" t="s">
        <v>334</v>
      </c>
      <c r="L297" s="116">
        <v>1</v>
      </c>
      <c r="M297" s="119">
        <f t="shared" ca="1" si="39"/>
        <v>703.76619181954629</v>
      </c>
      <c r="N297" s="119">
        <v>0</v>
      </c>
      <c r="O297" s="119">
        <v>0</v>
      </c>
      <c r="P297" s="119" t="s">
        <v>327</v>
      </c>
    </row>
    <row r="298" spans="8:16">
      <c r="H298" s="116">
        <v>2023</v>
      </c>
      <c r="I298" s="116" t="s">
        <v>326</v>
      </c>
      <c r="J298" s="116" t="s">
        <v>331</v>
      </c>
      <c r="K298" s="118" t="s">
        <v>335</v>
      </c>
      <c r="L298" s="116">
        <v>2</v>
      </c>
      <c r="M298" s="119">
        <f t="shared" ca="1" si="39"/>
        <v>502.69013701396159</v>
      </c>
      <c r="N298" s="119">
        <v>0</v>
      </c>
      <c r="O298" s="119">
        <v>0</v>
      </c>
      <c r="P298" s="119" t="s">
        <v>327</v>
      </c>
    </row>
    <row r="299" spans="8:16">
      <c r="H299" s="116">
        <v>2023</v>
      </c>
      <c r="I299" s="116" t="s">
        <v>326</v>
      </c>
      <c r="J299" s="116" t="s">
        <v>331</v>
      </c>
      <c r="K299" s="118" t="s">
        <v>336</v>
      </c>
      <c r="L299" s="116">
        <v>2</v>
      </c>
      <c r="M299" s="119">
        <f t="shared" ca="1" si="39"/>
        <v>8733.1352123161523</v>
      </c>
      <c r="N299" s="119">
        <v>0</v>
      </c>
      <c r="O299" s="119">
        <v>0</v>
      </c>
      <c r="P299" s="119" t="s">
        <v>327</v>
      </c>
    </row>
    <row r="300" spans="8:16">
      <c r="H300" s="116">
        <v>2023</v>
      </c>
      <c r="I300" s="116" t="s">
        <v>326</v>
      </c>
      <c r="J300" s="116" t="s">
        <v>331</v>
      </c>
      <c r="K300" s="118" t="s">
        <v>337</v>
      </c>
      <c r="L300" s="116">
        <v>1</v>
      </c>
      <c r="M300" s="119">
        <f t="shared" ca="1" si="39"/>
        <v>112.40151463632182</v>
      </c>
      <c r="N300" s="119">
        <v>0</v>
      </c>
      <c r="O300" s="119">
        <v>0</v>
      </c>
      <c r="P300" s="119" t="s">
        <v>327</v>
      </c>
    </row>
    <row r="301" spans="8:16">
      <c r="H301" s="116">
        <v>2023</v>
      </c>
      <c r="I301" s="116" t="s">
        <v>326</v>
      </c>
      <c r="J301" s="116" t="s">
        <v>331</v>
      </c>
      <c r="K301" s="118" t="s">
        <v>338</v>
      </c>
      <c r="L301" s="116">
        <v>4</v>
      </c>
      <c r="M301" s="119">
        <f t="shared" ca="1" si="39"/>
        <v>804.30421922233859</v>
      </c>
      <c r="N301" s="119">
        <v>0</v>
      </c>
      <c r="O301" s="119">
        <v>0</v>
      </c>
      <c r="P301" s="119" t="s">
        <v>327</v>
      </c>
    </row>
    <row r="302" spans="8:16">
      <c r="H302" s="116">
        <v>2023</v>
      </c>
      <c r="I302" s="116" t="s">
        <v>326</v>
      </c>
      <c r="J302" s="116" t="s">
        <v>331</v>
      </c>
      <c r="K302" s="118" t="s">
        <v>341</v>
      </c>
      <c r="L302" s="116">
        <v>5</v>
      </c>
      <c r="M302" s="119">
        <f t="shared" ca="1" si="39"/>
        <v>120.64563288335079</v>
      </c>
      <c r="N302" s="119">
        <v>0</v>
      </c>
      <c r="O302" s="119">
        <v>0</v>
      </c>
      <c r="P302" s="119" t="s">
        <v>327</v>
      </c>
    </row>
    <row r="303" spans="8:16">
      <c r="H303" s="116">
        <v>2023</v>
      </c>
      <c r="I303" s="116" t="s">
        <v>326</v>
      </c>
      <c r="J303" s="116" t="s">
        <v>331</v>
      </c>
      <c r="K303" s="118" t="s">
        <v>342</v>
      </c>
      <c r="L303" s="116">
        <v>1</v>
      </c>
      <c r="M303" s="119">
        <f t="shared" ca="1" si="39"/>
        <v>3789.8814809756595</v>
      </c>
      <c r="N303" s="119">
        <v>0</v>
      </c>
      <c r="O303" s="119">
        <v>0</v>
      </c>
      <c r="P303" s="119" t="s">
        <v>327</v>
      </c>
    </row>
    <row r="304" spans="8:16">
      <c r="H304" s="116">
        <v>2023</v>
      </c>
      <c r="I304" s="116" t="s">
        <v>326</v>
      </c>
      <c r="J304" s="116" t="s">
        <v>343</v>
      </c>
      <c r="K304" s="118" t="s">
        <v>289</v>
      </c>
      <c r="L304" s="116">
        <v>2</v>
      </c>
      <c r="M304" s="119">
        <f t="shared" ca="1" si="39"/>
        <v>15753.906741907947</v>
      </c>
      <c r="N304" s="119">
        <v>0</v>
      </c>
      <c r="O304" s="119">
        <v>0</v>
      </c>
      <c r="P304" s="119" t="s">
        <v>327</v>
      </c>
    </row>
    <row r="305" spans="8:16">
      <c r="H305" s="116">
        <v>2023</v>
      </c>
      <c r="I305" s="116" t="s">
        <v>326</v>
      </c>
      <c r="J305" s="116" t="s">
        <v>344</v>
      </c>
      <c r="K305" s="118" t="s">
        <v>291</v>
      </c>
      <c r="L305" s="116">
        <v>2</v>
      </c>
      <c r="M305" s="119">
        <f t="shared" ca="1" si="39"/>
        <v>1509.2679503090978</v>
      </c>
      <c r="N305" s="119">
        <v>0</v>
      </c>
      <c r="O305" s="119">
        <v>0</v>
      </c>
      <c r="P305" s="119" t="s">
        <v>345</v>
      </c>
    </row>
    <row r="306" spans="8:16">
      <c r="H306" s="116">
        <v>2023</v>
      </c>
      <c r="I306" s="116" t="s">
        <v>326</v>
      </c>
      <c r="J306" s="116" t="s">
        <v>344</v>
      </c>
      <c r="K306" s="118" t="s">
        <v>292</v>
      </c>
      <c r="L306" s="116">
        <v>3</v>
      </c>
      <c r="M306" s="119">
        <f t="shared" ca="1" si="39"/>
        <v>339.36420464713848</v>
      </c>
      <c r="N306" s="119">
        <v>0</v>
      </c>
      <c r="O306" s="119">
        <v>0</v>
      </c>
      <c r="P306" s="119" t="s">
        <v>345</v>
      </c>
    </row>
    <row r="307" spans="8:16">
      <c r="H307" s="116">
        <v>2023</v>
      </c>
      <c r="I307" s="116" t="s">
        <v>326</v>
      </c>
      <c r="J307" s="116" t="s">
        <v>295</v>
      </c>
      <c r="K307" s="118" t="s">
        <v>295</v>
      </c>
      <c r="L307" s="116">
        <v>2</v>
      </c>
      <c r="M307" s="119">
        <f t="shared" ca="1" si="39"/>
        <v>8124.8433360145527</v>
      </c>
      <c r="N307" s="119">
        <v>0</v>
      </c>
      <c r="O307" s="119">
        <v>0</v>
      </c>
      <c r="P307" s="119" t="s">
        <v>327</v>
      </c>
    </row>
    <row r="308" spans="8:16">
      <c r="H308" s="116">
        <v>2023</v>
      </c>
      <c r="I308" s="116" t="s">
        <v>346</v>
      </c>
      <c r="J308" s="116" t="s">
        <v>30</v>
      </c>
      <c r="K308" s="118" t="s">
        <v>31</v>
      </c>
      <c r="L308" s="116">
        <v>255</v>
      </c>
      <c r="M308" s="119">
        <f t="shared" ref="M308:M325" ca="1" si="40">T50</f>
        <v>0</v>
      </c>
      <c r="N308" s="119">
        <v>0</v>
      </c>
      <c r="O308" s="119">
        <v>0</v>
      </c>
      <c r="P308" s="119" t="s">
        <v>327</v>
      </c>
    </row>
    <row r="309" spans="8:16">
      <c r="H309" s="116">
        <v>2023</v>
      </c>
      <c r="I309" s="116" t="s">
        <v>346</v>
      </c>
      <c r="J309" s="116" t="s">
        <v>30</v>
      </c>
      <c r="K309" s="118" t="s">
        <v>328</v>
      </c>
      <c r="L309" s="116">
        <v>165</v>
      </c>
      <c r="M309" s="119">
        <f t="shared" ca="1" si="40"/>
        <v>6687.6260202250614</v>
      </c>
      <c r="N309" s="119">
        <v>0</v>
      </c>
      <c r="O309" s="119">
        <v>0</v>
      </c>
      <c r="P309" s="119" t="s">
        <v>327</v>
      </c>
    </row>
    <row r="310" spans="8:16">
      <c r="H310" s="116">
        <v>2023</v>
      </c>
      <c r="I310" s="116" t="s">
        <v>346</v>
      </c>
      <c r="J310" s="116" t="s">
        <v>30</v>
      </c>
      <c r="K310" s="118" t="s">
        <v>329</v>
      </c>
      <c r="L310" s="116">
        <v>75</v>
      </c>
      <c r="M310" s="119">
        <f t="shared" ca="1" si="40"/>
        <v>0</v>
      </c>
      <c r="N310" s="119">
        <v>0</v>
      </c>
      <c r="O310" s="119">
        <v>0</v>
      </c>
      <c r="P310" s="119" t="s">
        <v>327</v>
      </c>
    </row>
    <row r="311" spans="8:16">
      <c r="H311" s="116">
        <v>2023</v>
      </c>
      <c r="I311" s="116" t="s">
        <v>346</v>
      </c>
      <c r="J311" s="116" t="s">
        <v>30</v>
      </c>
      <c r="K311" s="118" t="s">
        <v>330</v>
      </c>
      <c r="L311" s="116">
        <v>15</v>
      </c>
      <c r="M311" s="119">
        <f t="shared" ca="1" si="40"/>
        <v>2527.3653334767214</v>
      </c>
      <c r="N311" s="119">
        <v>0</v>
      </c>
      <c r="O311" s="119">
        <v>0</v>
      </c>
      <c r="P311" s="119" t="s">
        <v>327</v>
      </c>
    </row>
    <row r="312" spans="8:16">
      <c r="H312" s="116">
        <v>2023</v>
      </c>
      <c r="I312" s="116" t="s">
        <v>346</v>
      </c>
      <c r="J312" s="116" t="s">
        <v>278</v>
      </c>
      <c r="K312" s="118" t="s">
        <v>278</v>
      </c>
      <c r="L312" s="116">
        <v>50</v>
      </c>
      <c r="M312" s="119">
        <f t="shared" ca="1" si="40"/>
        <v>340920.31311991758</v>
      </c>
      <c r="N312" s="119">
        <f ca="1">T110</f>
        <v>483094.89692654507</v>
      </c>
      <c r="O312" s="119">
        <f ca="1">T118</f>
        <v>42768.858127299958</v>
      </c>
      <c r="P312" s="119" t="s">
        <v>327</v>
      </c>
    </row>
    <row r="313" spans="8:16">
      <c r="H313" s="116">
        <v>2023</v>
      </c>
      <c r="I313" s="116" t="s">
        <v>346</v>
      </c>
      <c r="J313" s="116" t="s">
        <v>331</v>
      </c>
      <c r="K313" s="118" t="s">
        <v>332</v>
      </c>
      <c r="L313" s="116">
        <v>62.5</v>
      </c>
      <c r="M313" s="119">
        <f t="shared" ca="1" si="40"/>
        <v>5108.6032098941441</v>
      </c>
      <c r="N313" s="119">
        <v>0</v>
      </c>
      <c r="O313" s="119">
        <v>0</v>
      </c>
      <c r="P313" s="119" t="s">
        <v>327</v>
      </c>
    </row>
    <row r="314" spans="8:16">
      <c r="H314" s="116">
        <v>2023</v>
      </c>
      <c r="I314" s="116" t="s">
        <v>346</v>
      </c>
      <c r="J314" s="116" t="s">
        <v>331</v>
      </c>
      <c r="K314" s="118" t="s">
        <v>333</v>
      </c>
      <c r="L314" s="116">
        <v>1</v>
      </c>
      <c r="M314" s="119">
        <f t="shared" ca="1" si="40"/>
        <v>2011.8608277510393</v>
      </c>
      <c r="N314" s="119">
        <v>0</v>
      </c>
      <c r="O314" s="119">
        <v>0</v>
      </c>
      <c r="P314" s="119" t="s">
        <v>327</v>
      </c>
    </row>
    <row r="315" spans="8:16">
      <c r="H315" s="116">
        <v>2023</v>
      </c>
      <c r="I315" s="116" t="s">
        <v>346</v>
      </c>
      <c r="J315" s="116" t="s">
        <v>331</v>
      </c>
      <c r="K315" s="118" t="s">
        <v>334</v>
      </c>
      <c r="L315" s="116">
        <v>1</v>
      </c>
      <c r="M315" s="119">
        <f t="shared" ca="1" si="40"/>
        <v>650.18586307743647</v>
      </c>
      <c r="N315" s="119">
        <v>0</v>
      </c>
      <c r="O315" s="119">
        <v>0</v>
      </c>
      <c r="P315" s="119" t="s">
        <v>327</v>
      </c>
    </row>
    <row r="316" spans="8:16">
      <c r="H316" s="116">
        <v>2023</v>
      </c>
      <c r="I316" s="116" t="s">
        <v>346</v>
      </c>
      <c r="J316" s="116" t="s">
        <v>331</v>
      </c>
      <c r="K316" s="118" t="s">
        <v>335</v>
      </c>
      <c r="L316" s="116">
        <v>2</v>
      </c>
      <c r="M316" s="119">
        <f t="shared" ca="1" si="40"/>
        <v>464.41847362674037</v>
      </c>
      <c r="N316" s="119">
        <v>0</v>
      </c>
      <c r="O316" s="119">
        <v>0</v>
      </c>
      <c r="P316" s="119" t="s">
        <v>327</v>
      </c>
    </row>
    <row r="317" spans="8:16">
      <c r="H317" s="116">
        <v>2023</v>
      </c>
      <c r="I317" s="116" t="s">
        <v>346</v>
      </c>
      <c r="J317" s="116" t="s">
        <v>331</v>
      </c>
      <c r="K317" s="118" t="s">
        <v>336</v>
      </c>
      <c r="L317" s="116">
        <v>2</v>
      </c>
      <c r="M317" s="119">
        <f t="shared" ca="1" si="40"/>
        <v>8068.2492586226354</v>
      </c>
      <c r="N317" s="119">
        <v>0</v>
      </c>
      <c r="O317" s="119">
        <v>0</v>
      </c>
      <c r="P317" s="119" t="s">
        <v>327</v>
      </c>
    </row>
    <row r="318" spans="8:16">
      <c r="H318" s="116">
        <v>2023</v>
      </c>
      <c r="I318" s="116" t="s">
        <v>346</v>
      </c>
      <c r="J318" s="116" t="s">
        <v>331</v>
      </c>
      <c r="K318" s="118" t="s">
        <v>337</v>
      </c>
      <c r="L318" s="116">
        <v>1</v>
      </c>
      <c r="M318" s="119">
        <f t="shared" ca="1" si="40"/>
        <v>103.84397070293916</v>
      </c>
      <c r="N318" s="119">
        <v>0</v>
      </c>
      <c r="O318" s="119">
        <v>0</v>
      </c>
      <c r="P318" s="119" t="s">
        <v>327</v>
      </c>
    </row>
    <row r="319" spans="8:16">
      <c r="H319" s="116">
        <v>2023</v>
      </c>
      <c r="I319" s="116" t="s">
        <v>346</v>
      </c>
      <c r="J319" s="116" t="s">
        <v>331</v>
      </c>
      <c r="K319" s="118" t="s">
        <v>338</v>
      </c>
      <c r="L319" s="116">
        <v>4</v>
      </c>
      <c r="M319" s="119">
        <f t="shared" ca="1" si="40"/>
        <v>743.06955780278463</v>
      </c>
      <c r="N319" s="119">
        <v>0</v>
      </c>
      <c r="O319" s="119">
        <v>0</v>
      </c>
      <c r="P319" s="119" t="s">
        <v>327</v>
      </c>
    </row>
    <row r="320" spans="8:16">
      <c r="H320" s="116">
        <v>2023</v>
      </c>
      <c r="I320" s="116" t="s">
        <v>346</v>
      </c>
      <c r="J320" s="116" t="s">
        <v>331</v>
      </c>
      <c r="K320" s="118" t="s">
        <v>341</v>
      </c>
      <c r="L320" s="116">
        <v>5</v>
      </c>
      <c r="M320" s="119">
        <f t="shared" ca="1" si="40"/>
        <v>111.46043367041769</v>
      </c>
      <c r="N320" s="119">
        <v>0</v>
      </c>
      <c r="O320" s="119">
        <v>0</v>
      </c>
      <c r="P320" s="119" t="s">
        <v>327</v>
      </c>
    </row>
    <row r="321" spans="8:16">
      <c r="H321" s="116">
        <v>2023</v>
      </c>
      <c r="I321" s="116" t="s">
        <v>346</v>
      </c>
      <c r="J321" s="116" t="s">
        <v>331</v>
      </c>
      <c r="K321" s="118" t="s">
        <v>342</v>
      </c>
      <c r="L321" s="116">
        <v>1</v>
      </c>
      <c r="M321" s="119">
        <f t="shared" ca="1" si="40"/>
        <v>3501.3437563667212</v>
      </c>
      <c r="N321" s="119">
        <v>0</v>
      </c>
      <c r="O321" s="119">
        <v>0</v>
      </c>
      <c r="P321" s="119" t="s">
        <v>327</v>
      </c>
    </row>
    <row r="322" spans="8:16">
      <c r="H322" s="116">
        <v>2023</v>
      </c>
      <c r="I322" s="116" t="s">
        <v>346</v>
      </c>
      <c r="J322" s="116" t="s">
        <v>343</v>
      </c>
      <c r="K322" s="118" t="s">
        <v>289</v>
      </c>
      <c r="L322" s="116">
        <v>2</v>
      </c>
      <c r="M322" s="119">
        <f t="shared" ca="1" si="40"/>
        <v>14554.503428683143</v>
      </c>
      <c r="N322" s="119">
        <v>0</v>
      </c>
      <c r="O322" s="119">
        <v>0</v>
      </c>
      <c r="P322" s="119" t="s">
        <v>327</v>
      </c>
    </row>
    <row r="323" spans="8:16">
      <c r="H323" s="116">
        <v>2023</v>
      </c>
      <c r="I323" s="116" t="s">
        <v>346</v>
      </c>
      <c r="J323" s="116" t="s">
        <v>344</v>
      </c>
      <c r="K323" s="118" t="s">
        <v>291</v>
      </c>
      <c r="L323" s="116">
        <v>2</v>
      </c>
      <c r="M323" s="119">
        <f t="shared" ca="1" si="40"/>
        <v>1394.3617870442577</v>
      </c>
      <c r="N323" s="119">
        <v>0</v>
      </c>
      <c r="O323" s="119">
        <v>0</v>
      </c>
      <c r="P323" s="119" t="s">
        <v>345</v>
      </c>
    </row>
    <row r="324" spans="8:16">
      <c r="H324" s="116">
        <v>2023</v>
      </c>
      <c r="I324" s="116" t="s">
        <v>346</v>
      </c>
      <c r="J324" s="116" t="s">
        <v>344</v>
      </c>
      <c r="K324" s="118" t="s">
        <v>292</v>
      </c>
      <c r="L324" s="116">
        <v>3</v>
      </c>
      <c r="M324" s="119">
        <f t="shared" ca="1" si="40"/>
        <v>313.52714987005891</v>
      </c>
      <c r="N324" s="119">
        <v>0</v>
      </c>
      <c r="O324" s="119">
        <v>0</v>
      </c>
      <c r="P324" s="119" t="s">
        <v>345</v>
      </c>
    </row>
    <row r="325" spans="8:16">
      <c r="H325" s="116">
        <v>2023</v>
      </c>
      <c r="I325" s="116" t="s">
        <v>346</v>
      </c>
      <c r="J325" s="116" t="s">
        <v>295</v>
      </c>
      <c r="K325" s="118" t="s">
        <v>295</v>
      </c>
      <c r="L325" s="116">
        <v>2</v>
      </c>
      <c r="M325" s="119">
        <f t="shared" ca="1" si="40"/>
        <v>7506.2688975404981</v>
      </c>
      <c r="N325" s="119">
        <v>0</v>
      </c>
      <c r="O325" s="119">
        <v>0</v>
      </c>
      <c r="P325" s="119" t="s">
        <v>327</v>
      </c>
    </row>
    <row r="326" spans="8:16">
      <c r="H326" s="116">
        <v>2023</v>
      </c>
      <c r="I326" s="116" t="s">
        <v>347</v>
      </c>
      <c r="J326" s="116" t="s">
        <v>30</v>
      </c>
      <c r="K326" s="118" t="s">
        <v>31</v>
      </c>
      <c r="L326" s="116">
        <v>255</v>
      </c>
      <c r="M326" s="119">
        <f t="shared" ref="M326:M343" ca="1" si="41">U50</f>
        <v>0</v>
      </c>
      <c r="N326" s="119">
        <v>0</v>
      </c>
      <c r="O326" s="119">
        <v>0</v>
      </c>
      <c r="P326" s="119" t="s">
        <v>327</v>
      </c>
    </row>
    <row r="327" spans="8:16">
      <c r="H327" s="116">
        <v>2023</v>
      </c>
      <c r="I327" s="116" t="s">
        <v>347</v>
      </c>
      <c r="J327" s="116" t="s">
        <v>30</v>
      </c>
      <c r="K327" s="118" t="s">
        <v>328</v>
      </c>
      <c r="L327" s="116">
        <v>165</v>
      </c>
      <c r="M327" s="119">
        <f t="shared" ca="1" si="41"/>
        <v>615.26542961190103</v>
      </c>
      <c r="N327" s="119">
        <v>0</v>
      </c>
      <c r="O327" s="119">
        <v>0</v>
      </c>
      <c r="P327" s="119" t="s">
        <v>327</v>
      </c>
    </row>
    <row r="328" spans="8:16">
      <c r="H328" s="116">
        <v>2023</v>
      </c>
      <c r="I328" s="116" t="s">
        <v>347</v>
      </c>
      <c r="J328" s="116" t="s">
        <v>30</v>
      </c>
      <c r="K328" s="118" t="s">
        <v>329</v>
      </c>
      <c r="L328" s="116">
        <v>75</v>
      </c>
      <c r="M328" s="119">
        <f t="shared" ca="1" si="41"/>
        <v>0</v>
      </c>
      <c r="N328" s="119">
        <v>0</v>
      </c>
      <c r="O328" s="119">
        <v>0</v>
      </c>
      <c r="P328" s="119" t="s">
        <v>327</v>
      </c>
    </row>
    <row r="329" spans="8:16">
      <c r="H329" s="116">
        <v>2023</v>
      </c>
      <c r="I329" s="116" t="s">
        <v>347</v>
      </c>
      <c r="J329" s="116" t="s">
        <v>30</v>
      </c>
      <c r="K329" s="118" t="s">
        <v>330</v>
      </c>
      <c r="L329" s="116">
        <v>15</v>
      </c>
      <c r="M329" s="119">
        <f t="shared" ca="1" si="41"/>
        <v>232.51906027416425</v>
      </c>
      <c r="N329" s="119">
        <v>0</v>
      </c>
      <c r="O329" s="119">
        <v>0</v>
      </c>
      <c r="P329" s="119" t="s">
        <v>327</v>
      </c>
    </row>
    <row r="330" spans="8:16">
      <c r="H330" s="116">
        <v>2023</v>
      </c>
      <c r="I330" s="116" t="s">
        <v>347</v>
      </c>
      <c r="J330" s="116" t="s">
        <v>278</v>
      </c>
      <c r="K330" s="118" t="s">
        <v>278</v>
      </c>
      <c r="L330" s="116">
        <v>50</v>
      </c>
      <c r="M330" s="119">
        <f t="shared" ca="1" si="41"/>
        <v>31364.864345104463</v>
      </c>
      <c r="N330" s="119">
        <f ca="1">U110</f>
        <v>126572.928362903</v>
      </c>
      <c r="O330" s="119">
        <f ca="1">U118</f>
        <v>11205.62367839089</v>
      </c>
      <c r="P330" s="119" t="s">
        <v>327</v>
      </c>
    </row>
    <row r="331" spans="8:16">
      <c r="H331" s="116">
        <v>2023</v>
      </c>
      <c r="I331" s="116" t="s">
        <v>347</v>
      </c>
      <c r="J331" s="116" t="s">
        <v>331</v>
      </c>
      <c r="K331" s="118" t="s">
        <v>332</v>
      </c>
      <c r="L331" s="116">
        <v>62.5</v>
      </c>
      <c r="M331" s="119">
        <f t="shared" ca="1" si="41"/>
        <v>469.99442539797991</v>
      </c>
      <c r="N331" s="119">
        <v>0</v>
      </c>
      <c r="O331" s="119">
        <v>0</v>
      </c>
      <c r="P331" s="119" t="s">
        <v>327</v>
      </c>
    </row>
    <row r="332" spans="8:16">
      <c r="H332" s="116">
        <v>2023</v>
      </c>
      <c r="I332" s="116" t="s">
        <v>347</v>
      </c>
      <c r="J332" s="116" t="s">
        <v>331</v>
      </c>
      <c r="K332" s="118" t="s">
        <v>333</v>
      </c>
      <c r="L332" s="116">
        <v>1</v>
      </c>
      <c r="M332" s="119">
        <f t="shared" ca="1" si="41"/>
        <v>185.09235007491355</v>
      </c>
      <c r="N332" s="119">
        <v>0</v>
      </c>
      <c r="O332" s="119">
        <v>0</v>
      </c>
      <c r="P332" s="119" t="s">
        <v>327</v>
      </c>
    </row>
    <row r="333" spans="8:16">
      <c r="H333" s="116">
        <v>2023</v>
      </c>
      <c r="I333" s="116" t="s">
        <v>347</v>
      </c>
      <c r="J333" s="116" t="s">
        <v>331</v>
      </c>
      <c r="K333" s="118" t="s">
        <v>334</v>
      </c>
      <c r="L333" s="116">
        <v>1</v>
      </c>
      <c r="M333" s="119">
        <f t="shared" ca="1" si="41"/>
        <v>59.817472323379263</v>
      </c>
      <c r="N333" s="119">
        <v>0</v>
      </c>
      <c r="O333" s="119">
        <v>0</v>
      </c>
      <c r="P333" s="119" t="s">
        <v>327</v>
      </c>
    </row>
    <row r="334" spans="8:16">
      <c r="H334" s="116">
        <v>2023</v>
      </c>
      <c r="I334" s="116" t="s">
        <v>347</v>
      </c>
      <c r="J334" s="116" t="s">
        <v>331</v>
      </c>
      <c r="K334" s="118" t="s">
        <v>335</v>
      </c>
      <c r="L334" s="116">
        <v>2</v>
      </c>
      <c r="M334" s="119">
        <f t="shared" ca="1" si="41"/>
        <v>42.726765945270898</v>
      </c>
      <c r="N334" s="119">
        <v>0</v>
      </c>
      <c r="O334" s="119">
        <v>0</v>
      </c>
      <c r="P334" s="119" t="s">
        <v>327</v>
      </c>
    </row>
    <row r="335" spans="8:16">
      <c r="H335" s="116">
        <v>2023</v>
      </c>
      <c r="I335" s="116" t="s">
        <v>347</v>
      </c>
      <c r="J335" s="116" t="s">
        <v>331</v>
      </c>
      <c r="K335" s="118" t="s">
        <v>336</v>
      </c>
      <c r="L335" s="116">
        <v>2</v>
      </c>
      <c r="M335" s="119">
        <f t="shared" ca="1" si="41"/>
        <v>742.2835594140023</v>
      </c>
      <c r="N335" s="119">
        <v>0</v>
      </c>
      <c r="O335" s="119">
        <v>0</v>
      </c>
      <c r="P335" s="119" t="s">
        <v>327</v>
      </c>
    </row>
    <row r="336" spans="8:16">
      <c r="H336" s="116">
        <v>2023</v>
      </c>
      <c r="I336" s="116" t="s">
        <v>347</v>
      </c>
      <c r="J336" s="116" t="s">
        <v>331</v>
      </c>
      <c r="K336" s="118" t="s">
        <v>337</v>
      </c>
      <c r="L336" s="116">
        <v>1</v>
      </c>
      <c r="M336" s="119">
        <f t="shared" ca="1" si="41"/>
        <v>9.5537048653625742</v>
      </c>
      <c r="N336" s="119">
        <v>0</v>
      </c>
      <c r="O336" s="119">
        <v>0</v>
      </c>
      <c r="P336" s="119" t="s">
        <v>327</v>
      </c>
    </row>
    <row r="337" spans="8:16">
      <c r="H337" s="116">
        <v>2023</v>
      </c>
      <c r="I337" s="116" t="s">
        <v>347</v>
      </c>
      <c r="J337" s="116" t="s">
        <v>331</v>
      </c>
      <c r="K337" s="118" t="s">
        <v>338</v>
      </c>
      <c r="L337" s="116">
        <v>4</v>
      </c>
      <c r="M337" s="119">
        <f t="shared" ca="1" si="41"/>
        <v>68.362825512433446</v>
      </c>
      <c r="N337" s="119">
        <v>0</v>
      </c>
      <c r="O337" s="119">
        <v>0</v>
      </c>
      <c r="P337" s="119" t="s">
        <v>327</v>
      </c>
    </row>
    <row r="338" spans="8:16">
      <c r="H338" s="116">
        <v>2023</v>
      </c>
      <c r="I338" s="116" t="s">
        <v>347</v>
      </c>
      <c r="J338" s="116" t="s">
        <v>331</v>
      </c>
      <c r="K338" s="118" t="s">
        <v>341</v>
      </c>
      <c r="L338" s="116">
        <v>5</v>
      </c>
      <c r="M338" s="119">
        <f t="shared" ca="1" si="41"/>
        <v>10.254423826865017</v>
      </c>
      <c r="N338" s="119">
        <v>0</v>
      </c>
      <c r="O338" s="119">
        <v>0</v>
      </c>
      <c r="P338" s="119" t="s">
        <v>327</v>
      </c>
    </row>
    <row r="339" spans="8:16">
      <c r="H339" s="116">
        <v>2023</v>
      </c>
      <c r="I339" s="116" t="s">
        <v>347</v>
      </c>
      <c r="J339" s="116" t="s">
        <v>331</v>
      </c>
      <c r="K339" s="118" t="s">
        <v>342</v>
      </c>
      <c r="L339" s="116">
        <v>1</v>
      </c>
      <c r="M339" s="119">
        <f t="shared" ca="1" si="41"/>
        <v>322.12563381458637</v>
      </c>
      <c r="N339" s="119">
        <v>0</v>
      </c>
      <c r="O339" s="119">
        <v>0</v>
      </c>
      <c r="P339" s="119" t="s">
        <v>327</v>
      </c>
    </row>
    <row r="340" spans="8:16">
      <c r="H340" s="116">
        <v>2023</v>
      </c>
      <c r="I340" s="116" t="s">
        <v>347</v>
      </c>
      <c r="J340" s="116" t="s">
        <v>343</v>
      </c>
      <c r="K340" s="118" t="s">
        <v>289</v>
      </c>
      <c r="L340" s="116">
        <v>2</v>
      </c>
      <c r="M340" s="119">
        <f t="shared" ca="1" si="41"/>
        <v>1339.022663312034</v>
      </c>
      <c r="N340" s="119">
        <v>0</v>
      </c>
      <c r="O340" s="119">
        <v>0</v>
      </c>
      <c r="P340" s="119" t="s">
        <v>327</v>
      </c>
    </row>
    <row r="341" spans="8:16">
      <c r="H341" s="116">
        <v>2023</v>
      </c>
      <c r="I341" s="116" t="s">
        <v>347</v>
      </c>
      <c r="J341" s="116" t="s">
        <v>344</v>
      </c>
      <c r="K341" s="118" t="s">
        <v>291</v>
      </c>
      <c r="L341" s="116">
        <v>2</v>
      </c>
      <c r="M341" s="119">
        <f t="shared" ca="1" si="41"/>
        <v>128.28208415747085</v>
      </c>
      <c r="N341" s="119">
        <v>0</v>
      </c>
      <c r="O341" s="119">
        <v>0</v>
      </c>
      <c r="P341" s="119" t="s">
        <v>345</v>
      </c>
    </row>
    <row r="342" spans="8:16">
      <c r="H342" s="116">
        <v>2023</v>
      </c>
      <c r="I342" s="116" t="s">
        <v>347</v>
      </c>
      <c r="J342" s="116" t="s">
        <v>344</v>
      </c>
      <c r="K342" s="118" t="s">
        <v>292</v>
      </c>
      <c r="L342" s="116">
        <v>3</v>
      </c>
      <c r="M342" s="119">
        <f t="shared" ca="1" si="41"/>
        <v>28.844677614509436</v>
      </c>
      <c r="N342" s="119">
        <v>0</v>
      </c>
      <c r="O342" s="119">
        <v>0</v>
      </c>
      <c r="P342" s="119" t="s">
        <v>345</v>
      </c>
    </row>
    <row r="343" spans="8:16">
      <c r="H343" s="116">
        <v>2023</v>
      </c>
      <c r="I343" s="116" t="s">
        <v>347</v>
      </c>
      <c r="J343" s="116" t="s">
        <v>295</v>
      </c>
      <c r="K343" s="118" t="s">
        <v>295</v>
      </c>
      <c r="L343" s="116">
        <v>2</v>
      </c>
      <c r="M343" s="119">
        <f t="shared" ca="1" si="41"/>
        <v>690.58104386529112</v>
      </c>
      <c r="N343" s="119">
        <v>0</v>
      </c>
      <c r="O343" s="119">
        <v>0</v>
      </c>
      <c r="P343" s="119" t="s">
        <v>327</v>
      </c>
    </row>
    <row r="344" spans="8:16">
      <c r="H344" s="116">
        <v>2023</v>
      </c>
      <c r="I344" s="116" t="s">
        <v>348</v>
      </c>
      <c r="J344" s="116" t="s">
        <v>30</v>
      </c>
      <c r="K344" s="118" t="s">
        <v>31</v>
      </c>
      <c r="L344" s="116">
        <v>255</v>
      </c>
      <c r="M344" s="119">
        <f t="shared" ref="M344:M361" ca="1" si="42">V50</f>
        <v>0</v>
      </c>
      <c r="N344" s="119">
        <v>0</v>
      </c>
      <c r="O344" s="119">
        <v>0</v>
      </c>
      <c r="P344" s="119" t="s">
        <v>327</v>
      </c>
    </row>
    <row r="345" spans="8:16">
      <c r="H345" s="116">
        <v>2023</v>
      </c>
      <c r="I345" s="116" t="s">
        <v>348</v>
      </c>
      <c r="J345" s="116" t="s">
        <v>30</v>
      </c>
      <c r="K345" s="118" t="s">
        <v>328</v>
      </c>
      <c r="L345" s="116">
        <v>165</v>
      </c>
      <c r="M345" s="119">
        <f t="shared" ca="1" si="42"/>
        <v>5679.5521534286527</v>
      </c>
      <c r="N345" s="119">
        <v>0</v>
      </c>
      <c r="O345" s="119">
        <v>0</v>
      </c>
      <c r="P345" s="119" t="s">
        <v>327</v>
      </c>
    </row>
    <row r="346" spans="8:16">
      <c r="H346" s="116">
        <v>2023</v>
      </c>
      <c r="I346" s="116" t="s">
        <v>348</v>
      </c>
      <c r="J346" s="116" t="s">
        <v>30</v>
      </c>
      <c r="K346" s="118" t="s">
        <v>329</v>
      </c>
      <c r="L346" s="116">
        <v>75</v>
      </c>
      <c r="M346" s="119">
        <f t="shared" ca="1" si="42"/>
        <v>0</v>
      </c>
      <c r="N346" s="119">
        <v>0</v>
      </c>
      <c r="O346" s="119">
        <v>0</v>
      </c>
      <c r="P346" s="119" t="s">
        <v>327</v>
      </c>
    </row>
    <row r="347" spans="8:16">
      <c r="H347" s="116">
        <v>2023</v>
      </c>
      <c r="I347" s="116" t="s">
        <v>348</v>
      </c>
      <c r="J347" s="116" t="s">
        <v>30</v>
      </c>
      <c r="K347" s="118" t="s">
        <v>330</v>
      </c>
      <c r="L347" s="116">
        <v>15</v>
      </c>
      <c r="M347" s="119">
        <f t="shared" ca="1" si="42"/>
        <v>2146.3974179832453</v>
      </c>
      <c r="N347" s="119">
        <v>0</v>
      </c>
      <c r="O347" s="119">
        <v>0</v>
      </c>
      <c r="P347" s="119" t="s">
        <v>327</v>
      </c>
    </row>
    <row r="348" spans="8:16">
      <c r="H348" s="116">
        <v>2023</v>
      </c>
      <c r="I348" s="116" t="s">
        <v>348</v>
      </c>
      <c r="J348" s="116" t="s">
        <v>278</v>
      </c>
      <c r="K348" s="118" t="s">
        <v>278</v>
      </c>
      <c r="L348" s="116">
        <v>50</v>
      </c>
      <c r="M348" s="119">
        <f t="shared" ca="1" si="42"/>
        <v>289530.94755478512</v>
      </c>
      <c r="N348" s="119">
        <f ca="1">V110</f>
        <v>144406.22100400878</v>
      </c>
      <c r="O348" s="119">
        <f ca="1">V118</f>
        <v>12784.42231145955</v>
      </c>
      <c r="P348" s="119" t="s">
        <v>327</v>
      </c>
    </row>
    <row r="349" spans="8:16">
      <c r="H349" s="116">
        <v>2023</v>
      </c>
      <c r="I349" s="116" t="s">
        <v>348</v>
      </c>
      <c r="J349" s="116" t="s">
        <v>331</v>
      </c>
      <c r="K349" s="118" t="s">
        <v>332</v>
      </c>
      <c r="L349" s="116">
        <v>62.5</v>
      </c>
      <c r="M349" s="119">
        <f t="shared" ca="1" si="42"/>
        <v>4338.5467838691093</v>
      </c>
      <c r="N349" s="119">
        <v>0</v>
      </c>
      <c r="O349" s="119">
        <v>0</v>
      </c>
      <c r="P349" s="119" t="s">
        <v>327</v>
      </c>
    </row>
    <row r="350" spans="8:16">
      <c r="H350" s="116">
        <v>2023</v>
      </c>
      <c r="I350" s="116" t="s">
        <v>348</v>
      </c>
      <c r="J350" s="116" t="s">
        <v>331</v>
      </c>
      <c r="K350" s="118" t="s">
        <v>333</v>
      </c>
      <c r="L350" s="116">
        <v>1</v>
      </c>
      <c r="M350" s="119">
        <f t="shared" ca="1" si="42"/>
        <v>1708.5986061564531</v>
      </c>
      <c r="N350" s="119">
        <v>0</v>
      </c>
      <c r="O350" s="119">
        <v>0</v>
      </c>
      <c r="P350" s="119" t="s">
        <v>327</v>
      </c>
    </row>
    <row r="351" spans="8:16">
      <c r="H351" s="116">
        <v>2023</v>
      </c>
      <c r="I351" s="116" t="s">
        <v>348</v>
      </c>
      <c r="J351" s="116" t="s">
        <v>331</v>
      </c>
      <c r="K351" s="118" t="s">
        <v>334</v>
      </c>
      <c r="L351" s="116">
        <v>1</v>
      </c>
      <c r="M351" s="119">
        <f t="shared" ca="1" si="42"/>
        <v>552.17868158334124</v>
      </c>
      <c r="N351" s="119">
        <v>0</v>
      </c>
      <c r="O351" s="119">
        <v>0</v>
      </c>
      <c r="P351" s="119" t="s">
        <v>327</v>
      </c>
    </row>
    <row r="352" spans="8:16">
      <c r="H352" s="116">
        <v>2023</v>
      </c>
      <c r="I352" s="116" t="s">
        <v>348</v>
      </c>
      <c r="J352" s="116" t="s">
        <v>331</v>
      </c>
      <c r="K352" s="118" t="s">
        <v>335</v>
      </c>
      <c r="L352" s="116">
        <v>2</v>
      </c>
      <c r="M352" s="119">
        <f t="shared" ca="1" si="42"/>
        <v>394.41334398810085</v>
      </c>
      <c r="N352" s="119">
        <v>0</v>
      </c>
      <c r="O352" s="119">
        <v>0</v>
      </c>
      <c r="P352" s="119" t="s">
        <v>327</v>
      </c>
    </row>
    <row r="353" spans="8:16">
      <c r="H353" s="116">
        <v>2023</v>
      </c>
      <c r="I353" s="116" t="s">
        <v>348</v>
      </c>
      <c r="J353" s="116" t="s">
        <v>331</v>
      </c>
      <c r="K353" s="118" t="s">
        <v>336</v>
      </c>
      <c r="L353" s="116">
        <v>2</v>
      </c>
      <c r="M353" s="119">
        <f t="shared" ca="1" si="42"/>
        <v>6852.0641424364794</v>
      </c>
      <c r="N353" s="119">
        <v>0</v>
      </c>
      <c r="O353" s="119">
        <v>0</v>
      </c>
      <c r="P353" s="119" t="s">
        <v>327</v>
      </c>
    </row>
    <row r="354" spans="8:16">
      <c r="H354" s="116">
        <v>2023</v>
      </c>
      <c r="I354" s="116" t="s">
        <v>348</v>
      </c>
      <c r="J354" s="116" t="s">
        <v>331</v>
      </c>
      <c r="K354" s="118" t="s">
        <v>337</v>
      </c>
      <c r="L354" s="116">
        <v>1</v>
      </c>
      <c r="M354" s="119">
        <f t="shared" ca="1" si="42"/>
        <v>88.19082371573937</v>
      </c>
      <c r="N354" s="119">
        <v>0</v>
      </c>
      <c r="O354" s="119">
        <v>0</v>
      </c>
      <c r="P354" s="119" t="s">
        <v>327</v>
      </c>
    </row>
    <row r="355" spans="8:16">
      <c r="H355" s="116">
        <v>2023</v>
      </c>
      <c r="I355" s="116" t="s">
        <v>348</v>
      </c>
      <c r="J355" s="116" t="s">
        <v>331</v>
      </c>
      <c r="K355" s="118" t="s">
        <v>338</v>
      </c>
      <c r="L355" s="116">
        <v>4</v>
      </c>
      <c r="M355" s="119">
        <f t="shared" ca="1" si="42"/>
        <v>631.06135038096147</v>
      </c>
      <c r="N355" s="119">
        <v>0</v>
      </c>
      <c r="O355" s="119">
        <v>0</v>
      </c>
      <c r="P355" s="119" t="s">
        <v>327</v>
      </c>
    </row>
    <row r="356" spans="8:16">
      <c r="H356" s="116">
        <v>2023</v>
      </c>
      <c r="I356" s="116" t="s">
        <v>348</v>
      </c>
      <c r="J356" s="116" t="s">
        <v>331</v>
      </c>
      <c r="K356" s="118" t="s">
        <v>341</v>
      </c>
      <c r="L356" s="116">
        <v>5</v>
      </c>
      <c r="M356" s="119">
        <f t="shared" ca="1" si="42"/>
        <v>94.659202557144212</v>
      </c>
      <c r="N356" s="119">
        <v>0</v>
      </c>
      <c r="O356" s="119">
        <v>0</v>
      </c>
      <c r="P356" s="119" t="s">
        <v>327</v>
      </c>
    </row>
    <row r="357" spans="8:16">
      <c r="H357" s="116">
        <v>2023</v>
      </c>
      <c r="I357" s="116" t="s">
        <v>348</v>
      </c>
      <c r="J357" s="116" t="s">
        <v>331</v>
      </c>
      <c r="K357" s="118" t="s">
        <v>342</v>
      </c>
      <c r="L357" s="116">
        <v>1</v>
      </c>
      <c r="M357" s="119">
        <f t="shared" ca="1" si="42"/>
        <v>2973.5610829950901</v>
      </c>
      <c r="N357" s="119">
        <v>0</v>
      </c>
      <c r="O357" s="119">
        <v>0</v>
      </c>
      <c r="P357" s="119" t="s">
        <v>327</v>
      </c>
    </row>
    <row r="358" spans="8:16">
      <c r="H358" s="116">
        <v>2023</v>
      </c>
      <c r="I358" s="116" t="s">
        <v>348</v>
      </c>
      <c r="J358" s="116" t="s">
        <v>343</v>
      </c>
      <c r="K358" s="118" t="s">
        <v>289</v>
      </c>
      <c r="L358" s="116">
        <v>2</v>
      </c>
      <c r="M358" s="119">
        <f t="shared" ca="1" si="42"/>
        <v>12360.598669911891</v>
      </c>
      <c r="N358" s="119">
        <v>0</v>
      </c>
      <c r="O358" s="119">
        <v>0</v>
      </c>
      <c r="P358" s="119" t="s">
        <v>327</v>
      </c>
    </row>
    <row r="359" spans="8:16">
      <c r="H359" s="116">
        <v>2023</v>
      </c>
      <c r="I359" s="116" t="s">
        <v>348</v>
      </c>
      <c r="J359" s="116" t="s">
        <v>344</v>
      </c>
      <c r="K359" s="118" t="s">
        <v>291</v>
      </c>
      <c r="L359" s="116">
        <v>2</v>
      </c>
      <c r="M359" s="119">
        <f t="shared" ca="1" si="42"/>
        <v>1184.1796276160976</v>
      </c>
      <c r="N359" s="119">
        <v>0</v>
      </c>
      <c r="O359" s="119">
        <v>0</v>
      </c>
      <c r="P359" s="119" t="s">
        <v>345</v>
      </c>
    </row>
    <row r="360" spans="8:16">
      <c r="H360" s="116">
        <v>2023</v>
      </c>
      <c r="I360" s="116" t="s">
        <v>348</v>
      </c>
      <c r="J360" s="116" t="s">
        <v>344</v>
      </c>
      <c r="K360" s="118" t="s">
        <v>292</v>
      </c>
      <c r="L360" s="116">
        <v>3</v>
      </c>
      <c r="M360" s="119">
        <f t="shared" ca="1" si="42"/>
        <v>266.26695240098286</v>
      </c>
      <c r="N360" s="119">
        <v>0</v>
      </c>
      <c r="O360" s="119">
        <v>0</v>
      </c>
      <c r="P360" s="119" t="s">
        <v>345</v>
      </c>
    </row>
    <row r="361" spans="8:16">
      <c r="H361" s="116">
        <v>2023</v>
      </c>
      <c r="I361" s="116" t="s">
        <v>348</v>
      </c>
      <c r="J361" s="116" t="s">
        <v>295</v>
      </c>
      <c r="K361" s="118" t="s">
        <v>295</v>
      </c>
      <c r="L361" s="116">
        <v>2</v>
      </c>
      <c r="M361" s="119">
        <f t="shared" ca="1" si="42"/>
        <v>6374.7951144860726</v>
      </c>
      <c r="N361" s="119">
        <v>0</v>
      </c>
      <c r="O361" s="119">
        <v>0</v>
      </c>
      <c r="P361" s="119" t="s">
        <v>327</v>
      </c>
    </row>
    <row r="362" spans="8:16">
      <c r="H362" s="116">
        <v>2023</v>
      </c>
      <c r="I362" s="116" t="s">
        <v>349</v>
      </c>
      <c r="J362" s="116" t="s">
        <v>30</v>
      </c>
      <c r="K362" s="118" t="s">
        <v>31</v>
      </c>
      <c r="L362" s="116">
        <v>255</v>
      </c>
      <c r="M362" s="119">
        <f t="shared" ref="M362:M379" ca="1" si="43">W50</f>
        <v>0</v>
      </c>
      <c r="N362" s="119">
        <v>0</v>
      </c>
      <c r="O362" s="119">
        <v>0</v>
      </c>
      <c r="P362" s="119" t="s">
        <v>327</v>
      </c>
    </row>
    <row r="363" spans="8:16">
      <c r="H363" s="116">
        <v>2023</v>
      </c>
      <c r="I363" s="116" t="s">
        <v>349</v>
      </c>
      <c r="J363" s="116" t="s">
        <v>30</v>
      </c>
      <c r="K363" s="118" t="s">
        <v>328</v>
      </c>
      <c r="L363" s="116">
        <v>165</v>
      </c>
      <c r="M363" s="119">
        <f t="shared" ca="1" si="43"/>
        <v>622.4889695615451</v>
      </c>
      <c r="N363" s="119">
        <v>0</v>
      </c>
      <c r="O363" s="119">
        <v>0</v>
      </c>
      <c r="P363" s="119" t="s">
        <v>327</v>
      </c>
    </row>
    <row r="364" spans="8:16">
      <c r="H364" s="116">
        <v>2023</v>
      </c>
      <c r="I364" s="116" t="s">
        <v>349</v>
      </c>
      <c r="J364" s="116" t="s">
        <v>30</v>
      </c>
      <c r="K364" s="118" t="s">
        <v>329</v>
      </c>
      <c r="L364" s="116">
        <v>75</v>
      </c>
      <c r="M364" s="119">
        <f t="shared" ca="1" si="43"/>
        <v>0</v>
      </c>
      <c r="N364" s="119">
        <v>0</v>
      </c>
      <c r="O364" s="119">
        <v>0</v>
      </c>
      <c r="P364" s="119" t="s">
        <v>327</v>
      </c>
    </row>
    <row r="365" spans="8:16">
      <c r="H365" s="116">
        <v>2023</v>
      </c>
      <c r="I365" s="116" t="s">
        <v>349</v>
      </c>
      <c r="J365" s="116" t="s">
        <v>30</v>
      </c>
      <c r="K365" s="118" t="s">
        <v>330</v>
      </c>
      <c r="L365" s="116">
        <v>15</v>
      </c>
      <c r="M365" s="119">
        <f t="shared" ca="1" si="43"/>
        <v>235.24895641346728</v>
      </c>
      <c r="N365" s="119">
        <v>0</v>
      </c>
      <c r="O365" s="119">
        <v>0</v>
      </c>
      <c r="P365" s="119" t="s">
        <v>327</v>
      </c>
    </row>
    <row r="366" spans="8:16">
      <c r="H366" s="116">
        <v>2023</v>
      </c>
      <c r="I366" s="116" t="s">
        <v>349</v>
      </c>
      <c r="J366" s="116" t="s">
        <v>278</v>
      </c>
      <c r="K366" s="118" t="s">
        <v>278</v>
      </c>
      <c r="L366" s="116">
        <v>50</v>
      </c>
      <c r="M366" s="119">
        <f t="shared" ca="1" si="43"/>
        <v>31733.104359426321</v>
      </c>
      <c r="N366" s="119">
        <f ca="1">W110</f>
        <v>313183.7615998062</v>
      </c>
      <c r="O366" s="119">
        <f ca="1">W118</f>
        <v>27726.46110081533</v>
      </c>
      <c r="P366" s="119" t="s">
        <v>327</v>
      </c>
    </row>
    <row r="367" spans="8:16">
      <c r="H367" s="116">
        <v>2023</v>
      </c>
      <c r="I367" s="116" t="s">
        <v>349</v>
      </c>
      <c r="J367" s="116" t="s">
        <v>331</v>
      </c>
      <c r="K367" s="118" t="s">
        <v>332</v>
      </c>
      <c r="L367" s="116">
        <v>62.5</v>
      </c>
      <c r="M367" s="119">
        <f t="shared" ca="1" si="43"/>
        <v>475.51240730395807</v>
      </c>
      <c r="N367" s="119">
        <v>0</v>
      </c>
      <c r="O367" s="119">
        <v>0</v>
      </c>
      <c r="P367" s="119" t="s">
        <v>327</v>
      </c>
    </row>
    <row r="368" spans="8:16">
      <c r="H368" s="116">
        <v>2023</v>
      </c>
      <c r="I368" s="116" t="s">
        <v>349</v>
      </c>
      <c r="J368" s="116" t="s">
        <v>331</v>
      </c>
      <c r="K368" s="118" t="s">
        <v>333</v>
      </c>
      <c r="L368" s="116">
        <v>1</v>
      </c>
      <c r="M368" s="119">
        <f t="shared" ca="1" si="43"/>
        <v>187.26543167643152</v>
      </c>
      <c r="N368" s="119">
        <v>0</v>
      </c>
      <c r="O368" s="119">
        <v>0</v>
      </c>
      <c r="P368" s="119" t="s">
        <v>327</v>
      </c>
    </row>
    <row r="369" spans="8:16">
      <c r="H369" s="116">
        <v>2023</v>
      </c>
      <c r="I369" s="116" t="s">
        <v>349</v>
      </c>
      <c r="J369" s="116" t="s">
        <v>331</v>
      </c>
      <c r="K369" s="118" t="s">
        <v>334</v>
      </c>
      <c r="L369" s="116">
        <v>1</v>
      </c>
      <c r="M369" s="119">
        <f t="shared" ca="1" si="43"/>
        <v>60.519760929594668</v>
      </c>
      <c r="N369" s="119">
        <v>0</v>
      </c>
      <c r="O369" s="119">
        <v>0</v>
      </c>
      <c r="P369" s="119" t="s">
        <v>327</v>
      </c>
    </row>
    <row r="370" spans="8:16">
      <c r="H370" s="116">
        <v>2023</v>
      </c>
      <c r="I370" s="116" t="s">
        <v>349</v>
      </c>
      <c r="J370" s="116" t="s">
        <v>331</v>
      </c>
      <c r="K370" s="118" t="s">
        <v>335</v>
      </c>
      <c r="L370" s="116">
        <v>2</v>
      </c>
      <c r="M370" s="119">
        <f t="shared" ca="1" si="43"/>
        <v>43.22840066399619</v>
      </c>
      <c r="N370" s="119">
        <v>0</v>
      </c>
      <c r="O370" s="119">
        <v>0</v>
      </c>
      <c r="P370" s="119" t="s">
        <v>327</v>
      </c>
    </row>
    <row r="371" spans="8:16">
      <c r="H371" s="116">
        <v>2023</v>
      </c>
      <c r="I371" s="116" t="s">
        <v>349</v>
      </c>
      <c r="J371" s="116" t="s">
        <v>331</v>
      </c>
      <c r="K371" s="118" t="s">
        <v>336</v>
      </c>
      <c r="L371" s="116">
        <v>2</v>
      </c>
      <c r="M371" s="119">
        <f t="shared" ca="1" si="43"/>
        <v>750.99835905547309</v>
      </c>
      <c r="N371" s="119">
        <v>0</v>
      </c>
      <c r="O371" s="119">
        <v>0</v>
      </c>
      <c r="P371" s="119" t="s">
        <v>327</v>
      </c>
    </row>
    <row r="372" spans="8:16">
      <c r="H372" s="116">
        <v>2023</v>
      </c>
      <c r="I372" s="116" t="s">
        <v>349</v>
      </c>
      <c r="J372" s="116" t="s">
        <v>331</v>
      </c>
      <c r="K372" s="118" t="s">
        <v>337</v>
      </c>
      <c r="L372" s="116">
        <v>1</v>
      </c>
      <c r="M372" s="119">
        <f t="shared" ca="1" si="43"/>
        <v>9.665870388469548</v>
      </c>
      <c r="N372" s="119">
        <v>0</v>
      </c>
      <c r="O372" s="119">
        <v>0</v>
      </c>
      <c r="P372" s="119" t="s">
        <v>327</v>
      </c>
    </row>
    <row r="373" spans="8:16">
      <c r="H373" s="116">
        <v>2023</v>
      </c>
      <c r="I373" s="116" t="s">
        <v>349</v>
      </c>
      <c r="J373" s="116" t="s">
        <v>331</v>
      </c>
      <c r="K373" s="118" t="s">
        <v>338</v>
      </c>
      <c r="L373" s="116">
        <v>4</v>
      </c>
      <c r="M373" s="119">
        <f t="shared" ca="1" si="43"/>
        <v>69.16544106239391</v>
      </c>
      <c r="N373" s="119">
        <v>0</v>
      </c>
      <c r="O373" s="119">
        <v>0</v>
      </c>
      <c r="P373" s="119" t="s">
        <v>327</v>
      </c>
    </row>
    <row r="374" spans="8:16">
      <c r="H374" s="116">
        <v>2023</v>
      </c>
      <c r="I374" s="116" t="s">
        <v>349</v>
      </c>
      <c r="J374" s="116" t="s">
        <v>331</v>
      </c>
      <c r="K374" s="118" t="s">
        <v>341</v>
      </c>
      <c r="L374" s="116">
        <v>5</v>
      </c>
      <c r="M374" s="119">
        <f t="shared" ca="1" si="43"/>
        <v>10.374816159359085</v>
      </c>
      <c r="N374" s="119">
        <v>0</v>
      </c>
      <c r="O374" s="119">
        <v>0</v>
      </c>
      <c r="P374" s="119" t="s">
        <v>327</v>
      </c>
    </row>
    <row r="375" spans="8:16">
      <c r="H375" s="116">
        <v>2023</v>
      </c>
      <c r="I375" s="116" t="s">
        <v>349</v>
      </c>
      <c r="J375" s="116" t="s">
        <v>331</v>
      </c>
      <c r="K375" s="118" t="s">
        <v>342</v>
      </c>
      <c r="L375" s="116">
        <v>1</v>
      </c>
      <c r="M375" s="119">
        <f t="shared" ca="1" si="43"/>
        <v>325.9075582860001</v>
      </c>
      <c r="N375" s="119">
        <v>0</v>
      </c>
      <c r="O375" s="119">
        <v>0</v>
      </c>
      <c r="P375" s="119" t="s">
        <v>327</v>
      </c>
    </row>
    <row r="376" spans="8:16">
      <c r="H376" s="116">
        <v>2023</v>
      </c>
      <c r="I376" s="116" t="s">
        <v>349</v>
      </c>
      <c r="J376" s="116" t="s">
        <v>343</v>
      </c>
      <c r="K376" s="118" t="s">
        <v>289</v>
      </c>
      <c r="L376" s="116">
        <v>2</v>
      </c>
      <c r="M376" s="119">
        <f t="shared" ca="1" si="43"/>
        <v>1354.7434940891094</v>
      </c>
      <c r="N376" s="119">
        <v>0</v>
      </c>
      <c r="O376" s="119">
        <v>0</v>
      </c>
      <c r="P376" s="119" t="s">
        <v>327</v>
      </c>
    </row>
    <row r="377" spans="8:16">
      <c r="H377" s="116">
        <v>2023</v>
      </c>
      <c r="I377" s="116" t="s">
        <v>349</v>
      </c>
      <c r="J377" s="116" t="s">
        <v>344</v>
      </c>
      <c r="K377" s="118" t="s">
        <v>291</v>
      </c>
      <c r="L377" s="116">
        <v>2</v>
      </c>
      <c r="M377" s="119">
        <f t="shared" ca="1" si="43"/>
        <v>129.78818333863177</v>
      </c>
      <c r="N377" s="119">
        <v>0</v>
      </c>
      <c r="O377" s="119">
        <v>0</v>
      </c>
      <c r="P377" s="119" t="s">
        <v>345</v>
      </c>
    </row>
    <row r="378" spans="8:16">
      <c r="H378" s="116">
        <v>2023</v>
      </c>
      <c r="I378" s="116" t="s">
        <v>349</v>
      </c>
      <c r="J378" s="116" t="s">
        <v>344</v>
      </c>
      <c r="K378" s="118" t="s">
        <v>292</v>
      </c>
      <c r="L378" s="116">
        <v>3</v>
      </c>
      <c r="M378" s="119">
        <f t="shared" ca="1" si="43"/>
        <v>29.183329310273404</v>
      </c>
      <c r="N378" s="119">
        <v>0</v>
      </c>
      <c r="O378" s="119">
        <v>0</v>
      </c>
      <c r="P378" s="119" t="s">
        <v>345</v>
      </c>
    </row>
    <row r="379" spans="8:16">
      <c r="H379" s="116">
        <v>2023</v>
      </c>
      <c r="I379" s="116" t="s">
        <v>349</v>
      </c>
      <c r="J379" s="116" t="s">
        <v>295</v>
      </c>
      <c r="K379" s="118" t="s">
        <v>295</v>
      </c>
      <c r="L379" s="116">
        <v>2</v>
      </c>
      <c r="M379" s="119">
        <f t="shared" ca="1" si="43"/>
        <v>698.68882876387465</v>
      </c>
      <c r="N379" s="119">
        <v>0</v>
      </c>
      <c r="O379" s="119">
        <v>0</v>
      </c>
      <c r="P379" s="119" t="s">
        <v>327</v>
      </c>
    </row>
    <row r="380" spans="8:16">
      <c r="H380" s="116">
        <v>2023</v>
      </c>
      <c r="I380" s="116" t="s">
        <v>350</v>
      </c>
      <c r="J380" s="116" t="s">
        <v>30</v>
      </c>
      <c r="K380" s="118" t="s">
        <v>31</v>
      </c>
      <c r="L380" s="116">
        <v>255</v>
      </c>
      <c r="M380" s="119">
        <f t="shared" ref="M380:M397" ca="1" si="44">X50</f>
        <v>0</v>
      </c>
      <c r="N380" s="119">
        <v>0</v>
      </c>
      <c r="O380" s="119">
        <v>0</v>
      </c>
      <c r="P380" s="119" t="s">
        <v>327</v>
      </c>
    </row>
    <row r="381" spans="8:16">
      <c r="H381" s="116">
        <v>2023</v>
      </c>
      <c r="I381" s="116" t="s">
        <v>350</v>
      </c>
      <c r="J381" s="116" t="s">
        <v>30</v>
      </c>
      <c r="K381" s="118" t="s">
        <v>328</v>
      </c>
      <c r="L381" s="116">
        <v>165</v>
      </c>
      <c r="M381" s="119">
        <f t="shared" ca="1" si="44"/>
        <v>6611.1740674790499</v>
      </c>
      <c r="N381" s="119">
        <v>0</v>
      </c>
      <c r="O381" s="119">
        <v>0</v>
      </c>
      <c r="P381" s="119" t="s">
        <v>327</v>
      </c>
    </row>
    <row r="382" spans="8:16">
      <c r="H382" s="116">
        <v>2023</v>
      </c>
      <c r="I382" s="116" t="s">
        <v>350</v>
      </c>
      <c r="J382" s="116" t="s">
        <v>30</v>
      </c>
      <c r="K382" s="118" t="s">
        <v>329</v>
      </c>
      <c r="L382" s="116">
        <v>75</v>
      </c>
      <c r="M382" s="119">
        <f t="shared" ca="1" si="44"/>
        <v>0</v>
      </c>
      <c r="N382" s="119">
        <v>0</v>
      </c>
      <c r="O382" s="119">
        <v>0</v>
      </c>
      <c r="P382" s="119" t="s">
        <v>327</v>
      </c>
    </row>
    <row r="383" spans="8:16">
      <c r="H383" s="116">
        <v>2023</v>
      </c>
      <c r="I383" s="116" t="s">
        <v>350</v>
      </c>
      <c r="J383" s="116" t="s">
        <v>30</v>
      </c>
      <c r="K383" s="118" t="s">
        <v>330</v>
      </c>
      <c r="L383" s="116">
        <v>15</v>
      </c>
      <c r="M383" s="119">
        <f t="shared" ca="1" si="44"/>
        <v>2498.472866334791</v>
      </c>
      <c r="N383" s="119">
        <v>0</v>
      </c>
      <c r="O383" s="119">
        <v>0</v>
      </c>
      <c r="P383" s="119" t="s">
        <v>327</v>
      </c>
    </row>
    <row r="384" spans="8:16">
      <c r="H384" s="116">
        <v>2023</v>
      </c>
      <c r="I384" s="116" t="s">
        <v>350</v>
      </c>
      <c r="J384" s="116" t="s">
        <v>278</v>
      </c>
      <c r="K384" s="118" t="s">
        <v>278</v>
      </c>
      <c r="L384" s="116">
        <v>50</v>
      </c>
      <c r="M384" s="119">
        <f t="shared" ca="1" si="44"/>
        <v>337022.96246215422</v>
      </c>
      <c r="N384" s="119">
        <f ca="1">X110</f>
        <v>45662.390077511795</v>
      </c>
      <c r="O384" s="119">
        <f ca="1">X118</f>
        <v>4042.5355254279898</v>
      </c>
      <c r="P384" s="119" t="s">
        <v>327</v>
      </c>
    </row>
    <row r="385" spans="8:16">
      <c r="H385" s="116">
        <v>2023</v>
      </c>
      <c r="I385" s="116" t="s">
        <v>350</v>
      </c>
      <c r="J385" s="116" t="s">
        <v>331</v>
      </c>
      <c r="K385" s="118" t="s">
        <v>332</v>
      </c>
      <c r="L385" s="116">
        <v>62.5</v>
      </c>
      <c r="M385" s="119">
        <f t="shared" ca="1" si="44"/>
        <v>5050.2024126576071</v>
      </c>
      <c r="N385" s="119">
        <v>0</v>
      </c>
      <c r="O385" s="119">
        <v>0</v>
      </c>
      <c r="P385" s="119" t="s">
        <v>327</v>
      </c>
    </row>
    <row r="386" spans="8:16">
      <c r="H386" s="116">
        <v>2023</v>
      </c>
      <c r="I386" s="116" t="s">
        <v>350</v>
      </c>
      <c r="J386" s="116" t="s">
        <v>331</v>
      </c>
      <c r="K386" s="118" t="s">
        <v>333</v>
      </c>
      <c r="L386" s="116">
        <v>1</v>
      </c>
      <c r="M386" s="119">
        <f t="shared" ca="1" si="44"/>
        <v>1988.8615319666142</v>
      </c>
      <c r="N386" s="119">
        <v>0</v>
      </c>
      <c r="O386" s="119">
        <v>0</v>
      </c>
      <c r="P386" s="119" t="s">
        <v>327</v>
      </c>
    </row>
    <row r="387" spans="8:16">
      <c r="H387" s="116">
        <v>2023</v>
      </c>
      <c r="I387" s="116" t="s">
        <v>350</v>
      </c>
      <c r="J387" s="116" t="s">
        <v>331</v>
      </c>
      <c r="K387" s="118" t="s">
        <v>334</v>
      </c>
      <c r="L387" s="116">
        <v>1</v>
      </c>
      <c r="M387" s="119">
        <f t="shared" ca="1" si="44"/>
        <v>642.75303433824092</v>
      </c>
      <c r="N387" s="119">
        <v>0</v>
      </c>
      <c r="O387" s="119">
        <v>0</v>
      </c>
      <c r="P387" s="119" t="s">
        <v>327</v>
      </c>
    </row>
    <row r="388" spans="8:16">
      <c r="H388" s="116">
        <v>2023</v>
      </c>
      <c r="I388" s="116" t="s">
        <v>350</v>
      </c>
      <c r="J388" s="116" t="s">
        <v>331</v>
      </c>
      <c r="K388" s="118" t="s">
        <v>335</v>
      </c>
      <c r="L388" s="116">
        <v>2</v>
      </c>
      <c r="M388" s="119">
        <f t="shared" ca="1" si="44"/>
        <v>459.10931024160067</v>
      </c>
      <c r="N388" s="119">
        <v>0</v>
      </c>
      <c r="O388" s="119">
        <v>0</v>
      </c>
      <c r="P388" s="119" t="s">
        <v>327</v>
      </c>
    </row>
    <row r="389" spans="8:16">
      <c r="H389" s="116">
        <v>2023</v>
      </c>
      <c r="I389" s="116" t="s">
        <v>350</v>
      </c>
      <c r="J389" s="116" t="s">
        <v>331</v>
      </c>
      <c r="K389" s="118" t="s">
        <v>336</v>
      </c>
      <c r="L389" s="116">
        <v>2</v>
      </c>
      <c r="M389" s="119">
        <f t="shared" ca="1" si="44"/>
        <v>7976.0142249652799</v>
      </c>
      <c r="N389" s="119">
        <v>0</v>
      </c>
      <c r="O389" s="119">
        <v>0</v>
      </c>
      <c r="P389" s="119" t="s">
        <v>327</v>
      </c>
    </row>
    <row r="390" spans="8:16">
      <c r="H390" s="116">
        <v>2023</v>
      </c>
      <c r="I390" s="116" t="s">
        <v>350</v>
      </c>
      <c r="J390" s="116" t="s">
        <v>331</v>
      </c>
      <c r="K390" s="118" t="s">
        <v>337</v>
      </c>
      <c r="L390" s="116">
        <v>1</v>
      </c>
      <c r="M390" s="119">
        <f t="shared" ca="1" si="44"/>
        <v>102.65684177002191</v>
      </c>
      <c r="N390" s="119">
        <v>0</v>
      </c>
      <c r="O390" s="119">
        <v>0</v>
      </c>
      <c r="P390" s="119" t="s">
        <v>327</v>
      </c>
    </row>
    <row r="391" spans="8:16">
      <c r="H391" s="116">
        <v>2023</v>
      </c>
      <c r="I391" s="116" t="s">
        <v>350</v>
      </c>
      <c r="J391" s="116" t="s">
        <v>331</v>
      </c>
      <c r="K391" s="118" t="s">
        <v>338</v>
      </c>
      <c r="L391" s="116">
        <v>4</v>
      </c>
      <c r="M391" s="119">
        <f t="shared" ca="1" si="44"/>
        <v>734.57489638656114</v>
      </c>
      <c r="N391" s="119">
        <v>0</v>
      </c>
      <c r="O391" s="119">
        <v>0</v>
      </c>
      <c r="P391" s="119" t="s">
        <v>327</v>
      </c>
    </row>
    <row r="392" spans="8:16">
      <c r="H392" s="116">
        <v>2023</v>
      </c>
      <c r="I392" s="116" t="s">
        <v>350</v>
      </c>
      <c r="J392" s="116" t="s">
        <v>331</v>
      </c>
      <c r="K392" s="118" t="s">
        <v>341</v>
      </c>
      <c r="L392" s="116">
        <v>5</v>
      </c>
      <c r="M392" s="119">
        <f t="shared" ca="1" si="44"/>
        <v>110.18623445798417</v>
      </c>
      <c r="N392" s="119">
        <v>0</v>
      </c>
      <c r="O392" s="119">
        <v>0</v>
      </c>
      <c r="P392" s="119" t="s">
        <v>327</v>
      </c>
    </row>
    <row r="393" spans="8:16">
      <c r="H393" s="116">
        <v>2023</v>
      </c>
      <c r="I393" s="116" t="s">
        <v>350</v>
      </c>
      <c r="J393" s="116" t="s">
        <v>331</v>
      </c>
      <c r="K393" s="118" t="s">
        <v>342</v>
      </c>
      <c r="L393" s="116">
        <v>1</v>
      </c>
      <c r="M393" s="119">
        <f t="shared" ca="1" si="44"/>
        <v>3461.316911773476</v>
      </c>
      <c r="N393" s="119">
        <v>0</v>
      </c>
      <c r="O393" s="119">
        <v>0</v>
      </c>
      <c r="P393" s="119" t="s">
        <v>327</v>
      </c>
    </row>
    <row r="394" spans="8:16">
      <c r="H394" s="116">
        <v>2023</v>
      </c>
      <c r="I394" s="116" t="s">
        <v>350</v>
      </c>
      <c r="J394" s="116" t="s">
        <v>343</v>
      </c>
      <c r="K394" s="118" t="s">
        <v>289</v>
      </c>
      <c r="L394" s="116">
        <v>2</v>
      </c>
      <c r="M394" s="119">
        <f t="shared" ca="1" si="44"/>
        <v>14388.118495523573</v>
      </c>
      <c r="N394" s="119">
        <v>0</v>
      </c>
      <c r="O394" s="119">
        <v>0</v>
      </c>
      <c r="P394" s="119" t="s">
        <v>327</v>
      </c>
    </row>
    <row r="395" spans="8:16">
      <c r="H395" s="116">
        <v>2023</v>
      </c>
      <c r="I395" s="116" t="s">
        <v>350</v>
      </c>
      <c r="J395" s="116" t="s">
        <v>344</v>
      </c>
      <c r="K395" s="118" t="s">
        <v>291</v>
      </c>
      <c r="L395" s="116">
        <v>2</v>
      </c>
      <c r="M395" s="119">
        <f t="shared" ca="1" si="44"/>
        <v>1378.4216490742872</v>
      </c>
      <c r="N395" s="119">
        <v>0</v>
      </c>
      <c r="O395" s="119">
        <v>0</v>
      </c>
      <c r="P395" s="119" t="s">
        <v>345</v>
      </c>
    </row>
    <row r="396" spans="8:16">
      <c r="H396" s="116">
        <v>2023</v>
      </c>
      <c r="I396" s="116" t="s">
        <v>350</v>
      </c>
      <c r="J396" s="116" t="s">
        <v>344</v>
      </c>
      <c r="K396" s="118" t="s">
        <v>292</v>
      </c>
      <c r="L396" s="116">
        <v>3</v>
      </c>
      <c r="M396" s="119">
        <f t="shared" ca="1" si="44"/>
        <v>309.94295380796348</v>
      </c>
      <c r="N396" s="119">
        <v>0</v>
      </c>
      <c r="O396" s="119">
        <v>0</v>
      </c>
      <c r="P396" s="119" t="s">
        <v>345</v>
      </c>
    </row>
    <row r="397" spans="8:16">
      <c r="H397" s="116">
        <v>2023</v>
      </c>
      <c r="I397" s="116" t="s">
        <v>350</v>
      </c>
      <c r="J397" s="116" t="s">
        <v>295</v>
      </c>
      <c r="K397" s="118" t="s">
        <v>295</v>
      </c>
      <c r="L397" s="116">
        <v>2</v>
      </c>
      <c r="M397" s="119">
        <f t="shared" ca="1" si="44"/>
        <v>7420.4583403535235</v>
      </c>
      <c r="N397" s="119">
        <v>0</v>
      </c>
      <c r="O397" s="119">
        <v>0</v>
      </c>
      <c r="P397" s="119" t="s">
        <v>327</v>
      </c>
    </row>
    <row r="398" spans="8:16">
      <c r="H398" s="116">
        <v>2023</v>
      </c>
      <c r="I398" s="116" t="s">
        <v>352</v>
      </c>
      <c r="J398" s="116" t="s">
        <v>30</v>
      </c>
      <c r="K398" s="118" t="s">
        <v>31</v>
      </c>
      <c r="L398" s="116">
        <v>255</v>
      </c>
      <c r="M398" s="119">
        <f t="shared" ref="M398:M415" ca="1" si="45">Y50</f>
        <v>0</v>
      </c>
      <c r="N398" s="119">
        <v>0</v>
      </c>
      <c r="O398" s="119">
        <v>0</v>
      </c>
      <c r="P398" s="119" t="s">
        <v>327</v>
      </c>
    </row>
    <row r="399" spans="8:16">
      <c r="H399" s="116">
        <v>2023</v>
      </c>
      <c r="I399" s="116" t="s">
        <v>352</v>
      </c>
      <c r="J399" s="116" t="s">
        <v>30</v>
      </c>
      <c r="K399" s="118" t="s">
        <v>328</v>
      </c>
      <c r="L399" s="116">
        <v>165</v>
      </c>
      <c r="M399" s="119">
        <f t="shared" ca="1" si="45"/>
        <v>9624.1189973219152</v>
      </c>
      <c r="N399" s="119">
        <v>0</v>
      </c>
      <c r="O399" s="119">
        <v>0</v>
      </c>
      <c r="P399" s="119" t="s">
        <v>327</v>
      </c>
    </row>
    <row r="400" spans="8:16">
      <c r="H400" s="116">
        <v>2023</v>
      </c>
      <c r="I400" s="116" t="s">
        <v>352</v>
      </c>
      <c r="J400" s="116" t="s">
        <v>30</v>
      </c>
      <c r="K400" s="118" t="s">
        <v>329</v>
      </c>
      <c r="L400" s="116">
        <v>75</v>
      </c>
      <c r="M400" s="119">
        <f t="shared" ca="1" si="45"/>
        <v>0</v>
      </c>
      <c r="N400" s="119">
        <v>0</v>
      </c>
      <c r="O400" s="119">
        <v>0</v>
      </c>
      <c r="P400" s="119" t="s">
        <v>327</v>
      </c>
    </row>
    <row r="401" spans="8:16">
      <c r="H401" s="116">
        <v>2023</v>
      </c>
      <c r="I401" s="116" t="s">
        <v>352</v>
      </c>
      <c r="J401" s="116" t="s">
        <v>30</v>
      </c>
      <c r="K401" s="118" t="s">
        <v>330</v>
      </c>
      <c r="L401" s="116">
        <v>15</v>
      </c>
      <c r="M401" s="119">
        <f t="shared" ca="1" si="45"/>
        <v>3637.1149710712407</v>
      </c>
      <c r="N401" s="119">
        <v>0</v>
      </c>
      <c r="O401" s="119">
        <v>0</v>
      </c>
      <c r="P401" s="119" t="s">
        <v>327</v>
      </c>
    </row>
    <row r="402" spans="8:16">
      <c r="H402" s="116">
        <v>2023</v>
      </c>
      <c r="I402" s="116" t="s">
        <v>352</v>
      </c>
      <c r="J402" s="116" t="s">
        <v>278</v>
      </c>
      <c r="K402" s="118" t="s">
        <v>278</v>
      </c>
      <c r="L402" s="116">
        <v>100</v>
      </c>
      <c r="M402" s="119">
        <f t="shared" ca="1" si="45"/>
        <v>490616.19955236604</v>
      </c>
      <c r="N402" s="119">
        <f ca="1">Y110</f>
        <v>413316.23201058968</v>
      </c>
      <c r="O402" s="119">
        <f ca="1">Y118</f>
        <v>36591.285482485473</v>
      </c>
      <c r="P402" s="119" t="s">
        <v>327</v>
      </c>
    </row>
    <row r="403" spans="8:16">
      <c r="H403" s="116">
        <v>2023</v>
      </c>
      <c r="I403" s="116" t="s">
        <v>352</v>
      </c>
      <c r="J403" s="116" t="s">
        <v>331</v>
      </c>
      <c r="K403" s="118" t="s">
        <v>332</v>
      </c>
      <c r="L403" s="116">
        <v>62.5</v>
      </c>
      <c r="M403" s="119">
        <f t="shared" ca="1" si="45"/>
        <v>7351.7575673986848</v>
      </c>
      <c r="N403" s="119">
        <v>0</v>
      </c>
      <c r="O403" s="119">
        <v>0</v>
      </c>
      <c r="P403" s="119" t="s">
        <v>327</v>
      </c>
    </row>
    <row r="404" spans="8:16">
      <c r="H404" s="116">
        <v>2023</v>
      </c>
      <c r="I404" s="116" t="s">
        <v>352</v>
      </c>
      <c r="J404" s="116" t="s">
        <v>331</v>
      </c>
      <c r="K404" s="118" t="s">
        <v>333</v>
      </c>
      <c r="L404" s="116">
        <v>1</v>
      </c>
      <c r="M404" s="119">
        <f t="shared" ca="1" si="45"/>
        <v>2895.2557983610095</v>
      </c>
      <c r="N404" s="119">
        <v>0</v>
      </c>
      <c r="O404" s="119">
        <v>0</v>
      </c>
      <c r="P404" s="119" t="s">
        <v>327</v>
      </c>
    </row>
    <row r="405" spans="8:16">
      <c r="H405" s="116">
        <v>2023</v>
      </c>
      <c r="I405" s="116" t="s">
        <v>352</v>
      </c>
      <c r="J405" s="116" t="s">
        <v>331</v>
      </c>
      <c r="K405" s="118" t="s">
        <v>334</v>
      </c>
      <c r="L405" s="116">
        <v>1</v>
      </c>
      <c r="M405" s="119">
        <f t="shared" ca="1" si="45"/>
        <v>935.67823585074177</v>
      </c>
      <c r="N405" s="119">
        <v>0</v>
      </c>
      <c r="O405" s="119">
        <v>0</v>
      </c>
      <c r="P405" s="119" t="s">
        <v>327</v>
      </c>
    </row>
    <row r="406" spans="8:16">
      <c r="H406" s="116">
        <v>2023</v>
      </c>
      <c r="I406" s="116" t="s">
        <v>352</v>
      </c>
      <c r="J406" s="116" t="s">
        <v>331</v>
      </c>
      <c r="K406" s="118" t="s">
        <v>335</v>
      </c>
      <c r="L406" s="116">
        <v>2</v>
      </c>
      <c r="M406" s="119">
        <f t="shared" ca="1" si="45"/>
        <v>668.34159703624402</v>
      </c>
      <c r="N406" s="119">
        <v>0</v>
      </c>
      <c r="O406" s="119">
        <v>0</v>
      </c>
      <c r="P406" s="119" t="s">
        <v>327</v>
      </c>
    </row>
    <row r="407" spans="8:16">
      <c r="H407" s="116">
        <v>2023</v>
      </c>
      <c r="I407" s="116" t="s">
        <v>352</v>
      </c>
      <c r="J407" s="116" t="s">
        <v>331</v>
      </c>
      <c r="K407" s="118" t="s">
        <v>336</v>
      </c>
      <c r="L407" s="116">
        <v>2</v>
      </c>
      <c r="M407" s="119">
        <f t="shared" ca="1" si="45"/>
        <v>11610.964896991261</v>
      </c>
      <c r="N407" s="119">
        <v>0</v>
      </c>
      <c r="O407" s="119">
        <v>0</v>
      </c>
      <c r="P407" s="119" t="s">
        <v>327</v>
      </c>
    </row>
    <row r="408" spans="8:16">
      <c r="H408" s="116">
        <v>2023</v>
      </c>
      <c r="I408" s="116" t="s">
        <v>352</v>
      </c>
      <c r="J408" s="116" t="s">
        <v>331</v>
      </c>
      <c r="K408" s="118" t="s">
        <v>337</v>
      </c>
      <c r="L408" s="116">
        <v>1</v>
      </c>
      <c r="M408" s="119">
        <f t="shared" ca="1" si="45"/>
        <v>149.4411810973042</v>
      </c>
      <c r="N408" s="119">
        <v>0</v>
      </c>
      <c r="O408" s="119">
        <v>0</v>
      </c>
      <c r="P408" s="119" t="s">
        <v>327</v>
      </c>
    </row>
    <row r="409" spans="8:16">
      <c r="H409" s="116">
        <v>2023</v>
      </c>
      <c r="I409" s="116" t="s">
        <v>352</v>
      </c>
      <c r="J409" s="116" t="s">
        <v>331</v>
      </c>
      <c r="K409" s="118" t="s">
        <v>338</v>
      </c>
      <c r="L409" s="116">
        <v>4</v>
      </c>
      <c r="M409" s="119">
        <f t="shared" ca="1" si="45"/>
        <v>1069.3465552579905</v>
      </c>
      <c r="N409" s="119">
        <v>0</v>
      </c>
      <c r="O409" s="119">
        <v>0</v>
      </c>
      <c r="P409" s="119" t="s">
        <v>327</v>
      </c>
    </row>
    <row r="410" spans="8:16">
      <c r="H410" s="116">
        <v>2023</v>
      </c>
      <c r="I410" s="116" t="s">
        <v>352</v>
      </c>
      <c r="J410" s="116" t="s">
        <v>331</v>
      </c>
      <c r="K410" s="118" t="s">
        <v>341</v>
      </c>
      <c r="L410" s="116">
        <v>5</v>
      </c>
      <c r="M410" s="119">
        <f t="shared" ca="1" si="45"/>
        <v>160.40198328869857</v>
      </c>
      <c r="N410" s="119">
        <v>0</v>
      </c>
      <c r="O410" s="119">
        <v>0</v>
      </c>
      <c r="P410" s="119" t="s">
        <v>327</v>
      </c>
    </row>
    <row r="411" spans="8:16">
      <c r="H411" s="116">
        <v>2023</v>
      </c>
      <c r="I411" s="116" t="s">
        <v>352</v>
      </c>
      <c r="J411" s="116" t="s">
        <v>331</v>
      </c>
      <c r="K411" s="118" t="s">
        <v>342</v>
      </c>
      <c r="L411" s="116">
        <v>1</v>
      </c>
      <c r="M411" s="119">
        <f t="shared" ca="1" si="45"/>
        <v>5038.7609683756518</v>
      </c>
      <c r="N411" s="119">
        <v>0</v>
      </c>
      <c r="O411" s="119">
        <v>0</v>
      </c>
      <c r="P411" s="119" t="s">
        <v>327</v>
      </c>
    </row>
    <row r="412" spans="8:16">
      <c r="H412" s="116">
        <v>2023</v>
      </c>
      <c r="I412" s="116" t="s">
        <v>352</v>
      </c>
      <c r="J412" s="116" t="s">
        <v>343</v>
      </c>
      <c r="K412" s="118" t="s">
        <v>289</v>
      </c>
      <c r="L412" s="116">
        <v>2</v>
      </c>
      <c r="M412" s="119">
        <f t="shared" ca="1" si="45"/>
        <v>20945.29097783826</v>
      </c>
      <c r="N412" s="119">
        <v>0</v>
      </c>
      <c r="O412" s="119">
        <v>0</v>
      </c>
      <c r="P412" s="119" t="s">
        <v>327</v>
      </c>
    </row>
    <row r="413" spans="8:16">
      <c r="H413" s="116">
        <v>2023</v>
      </c>
      <c r="I413" s="116" t="s">
        <v>352</v>
      </c>
      <c r="J413" s="116" t="s">
        <v>344</v>
      </c>
      <c r="K413" s="118" t="s">
        <v>291</v>
      </c>
      <c r="L413" s="116">
        <v>2</v>
      </c>
      <c r="M413" s="119">
        <f t="shared" ca="1" si="45"/>
        <v>2006.6169554410524</v>
      </c>
      <c r="N413" s="119">
        <v>0</v>
      </c>
      <c r="O413" s="119">
        <v>0</v>
      </c>
      <c r="P413" s="119" t="s">
        <v>345</v>
      </c>
    </row>
    <row r="414" spans="8:16">
      <c r="H414" s="116">
        <v>2023</v>
      </c>
      <c r="I414" s="116" t="s">
        <v>352</v>
      </c>
      <c r="J414" s="116" t="s">
        <v>344</v>
      </c>
      <c r="K414" s="118" t="s">
        <v>292</v>
      </c>
      <c r="L414" s="116">
        <v>3</v>
      </c>
      <c r="M414" s="119">
        <f t="shared" ca="1" si="45"/>
        <v>451.19487694365461</v>
      </c>
      <c r="N414" s="119">
        <v>0</v>
      </c>
      <c r="O414" s="119">
        <v>0</v>
      </c>
      <c r="P414" s="119" t="s">
        <v>345</v>
      </c>
    </row>
    <row r="415" spans="8:16">
      <c r="H415" s="116">
        <v>2023</v>
      </c>
      <c r="I415" s="116" t="s">
        <v>352</v>
      </c>
      <c r="J415" s="116" t="s">
        <v>295</v>
      </c>
      <c r="K415" s="118" t="s">
        <v>295</v>
      </c>
      <c r="L415" s="116">
        <v>2</v>
      </c>
      <c r="M415" s="119">
        <f t="shared" ca="1" si="45"/>
        <v>10802.222623895314</v>
      </c>
      <c r="N415" s="119">
        <v>0</v>
      </c>
      <c r="O415" s="119">
        <v>0</v>
      </c>
      <c r="P415" s="119" t="s">
        <v>327</v>
      </c>
    </row>
    <row r="416" spans="8:16">
      <c r="H416" s="116">
        <v>2023</v>
      </c>
      <c r="I416" s="116" t="s">
        <v>354</v>
      </c>
      <c r="J416" s="116" t="s">
        <v>30</v>
      </c>
      <c r="K416" s="118" t="s">
        <v>31</v>
      </c>
      <c r="L416" s="116">
        <v>255</v>
      </c>
      <c r="M416" s="119">
        <f t="shared" ref="M416:M433" ca="1" si="46">Z50</f>
        <v>0</v>
      </c>
      <c r="N416" s="119">
        <v>0</v>
      </c>
      <c r="O416" s="119">
        <v>0</v>
      </c>
      <c r="P416" s="119" t="s">
        <v>327</v>
      </c>
    </row>
    <row r="417" spans="8:16">
      <c r="H417" s="116">
        <v>2023</v>
      </c>
      <c r="I417" s="116" t="s">
        <v>354</v>
      </c>
      <c r="J417" s="116" t="s">
        <v>30</v>
      </c>
      <c r="K417" s="118" t="s">
        <v>328</v>
      </c>
      <c r="L417" s="116">
        <v>165</v>
      </c>
      <c r="M417" s="119">
        <f t="shared" ca="1" si="46"/>
        <v>2211.4363893708219</v>
      </c>
      <c r="N417" s="119">
        <v>0</v>
      </c>
      <c r="O417" s="119">
        <v>0</v>
      </c>
      <c r="P417" s="119" t="s">
        <v>327</v>
      </c>
    </row>
    <row r="418" spans="8:16">
      <c r="H418" s="116">
        <v>2023</v>
      </c>
      <c r="I418" s="116" t="s">
        <v>354</v>
      </c>
      <c r="J418" s="116" t="s">
        <v>30</v>
      </c>
      <c r="K418" s="118" t="s">
        <v>329</v>
      </c>
      <c r="L418" s="116">
        <v>75</v>
      </c>
      <c r="M418" s="119">
        <f t="shared" ca="1" si="46"/>
        <v>0</v>
      </c>
      <c r="N418" s="119">
        <v>0</v>
      </c>
      <c r="O418" s="119">
        <v>0</v>
      </c>
      <c r="P418" s="119" t="s">
        <v>327</v>
      </c>
    </row>
    <row r="419" spans="8:16">
      <c r="H419" s="116">
        <v>2023</v>
      </c>
      <c r="I419" s="116" t="s">
        <v>354</v>
      </c>
      <c r="J419" s="116" t="s">
        <v>30</v>
      </c>
      <c r="K419" s="118" t="s">
        <v>330</v>
      </c>
      <c r="L419" s="116">
        <v>15</v>
      </c>
      <c r="M419" s="119">
        <f t="shared" ca="1" si="46"/>
        <v>835.7386688163898</v>
      </c>
      <c r="N419" s="119">
        <v>0</v>
      </c>
      <c r="O419" s="119">
        <v>0</v>
      </c>
      <c r="P419" s="119" t="s">
        <v>327</v>
      </c>
    </row>
    <row r="420" spans="8:16">
      <c r="H420" s="116">
        <v>2023</v>
      </c>
      <c r="I420" s="116" t="s">
        <v>354</v>
      </c>
      <c r="J420" s="116" t="s">
        <v>278</v>
      </c>
      <c r="K420" s="118" t="s">
        <v>278</v>
      </c>
      <c r="L420" s="116">
        <v>100</v>
      </c>
      <c r="M420" s="119">
        <f t="shared" ca="1" si="46"/>
        <v>112734.11282703701</v>
      </c>
      <c r="N420" s="119">
        <f ca="1">Z110</f>
        <v>279741.04880829912</v>
      </c>
      <c r="O420" s="119">
        <f ca="1">Z118</f>
        <v>24765.745415612211</v>
      </c>
      <c r="P420" s="119" t="s">
        <v>327</v>
      </c>
    </row>
    <row r="421" spans="8:16">
      <c r="H421" s="116">
        <v>2023</v>
      </c>
      <c r="I421" s="116" t="s">
        <v>354</v>
      </c>
      <c r="J421" s="116" t="s">
        <v>331</v>
      </c>
      <c r="K421" s="118" t="s">
        <v>332</v>
      </c>
      <c r="L421" s="116">
        <v>62.5</v>
      </c>
      <c r="M421" s="119">
        <f t="shared" ca="1" si="46"/>
        <v>1689.2916863249334</v>
      </c>
      <c r="N421" s="119">
        <v>0</v>
      </c>
      <c r="O421" s="119">
        <v>0</v>
      </c>
      <c r="P421" s="119" t="s">
        <v>327</v>
      </c>
    </row>
    <row r="422" spans="8:16">
      <c r="H422" s="116">
        <v>2023</v>
      </c>
      <c r="I422" s="116" t="s">
        <v>354</v>
      </c>
      <c r="J422" s="116" t="s">
        <v>331</v>
      </c>
      <c r="K422" s="118" t="s">
        <v>333</v>
      </c>
      <c r="L422" s="116">
        <v>1</v>
      </c>
      <c r="M422" s="119">
        <f t="shared" ca="1" si="46"/>
        <v>665.27378046905562</v>
      </c>
      <c r="N422" s="119">
        <v>0</v>
      </c>
      <c r="O422" s="119">
        <v>0</v>
      </c>
      <c r="P422" s="119" t="s">
        <v>327</v>
      </c>
    </row>
    <row r="423" spans="8:16">
      <c r="H423" s="116">
        <v>2023</v>
      </c>
      <c r="I423" s="116" t="s">
        <v>354</v>
      </c>
      <c r="J423" s="116" t="s">
        <v>331</v>
      </c>
      <c r="K423" s="118" t="s">
        <v>334</v>
      </c>
      <c r="L423" s="116">
        <v>1</v>
      </c>
      <c r="M423" s="119">
        <f t="shared" ca="1" si="46"/>
        <v>215.00076007771881</v>
      </c>
      <c r="N423" s="119">
        <v>0</v>
      </c>
      <c r="O423" s="119">
        <v>0</v>
      </c>
      <c r="P423" s="119" t="s">
        <v>327</v>
      </c>
    </row>
    <row r="424" spans="8:16">
      <c r="H424" s="116">
        <v>2023</v>
      </c>
      <c r="I424" s="116" t="s">
        <v>354</v>
      </c>
      <c r="J424" s="116" t="s">
        <v>331</v>
      </c>
      <c r="K424" s="118" t="s">
        <v>335</v>
      </c>
      <c r="L424" s="116">
        <v>2</v>
      </c>
      <c r="M424" s="119">
        <f t="shared" ca="1" si="46"/>
        <v>153.57197148408486</v>
      </c>
      <c r="N424" s="119">
        <v>0</v>
      </c>
      <c r="O424" s="119">
        <v>0</v>
      </c>
      <c r="P424" s="119" t="s">
        <v>327</v>
      </c>
    </row>
    <row r="425" spans="8:16">
      <c r="H425" s="116">
        <v>2023</v>
      </c>
      <c r="I425" s="116" t="s">
        <v>354</v>
      </c>
      <c r="J425" s="116" t="s">
        <v>331</v>
      </c>
      <c r="K425" s="118" t="s">
        <v>336</v>
      </c>
      <c r="L425" s="116">
        <v>2</v>
      </c>
      <c r="M425" s="119">
        <f t="shared" ca="1" si="46"/>
        <v>2667.9751461987094</v>
      </c>
      <c r="N425" s="119">
        <v>0</v>
      </c>
      <c r="O425" s="119">
        <v>0</v>
      </c>
      <c r="P425" s="119" t="s">
        <v>327</v>
      </c>
    </row>
    <row r="426" spans="8:16">
      <c r="H426" s="116">
        <v>2023</v>
      </c>
      <c r="I426" s="116" t="s">
        <v>354</v>
      </c>
      <c r="J426" s="116" t="s">
        <v>331</v>
      </c>
      <c r="K426" s="118" t="s">
        <v>337</v>
      </c>
      <c r="L426" s="116">
        <v>1</v>
      </c>
      <c r="M426" s="119">
        <f t="shared" ca="1" si="46"/>
        <v>34.338692823841377</v>
      </c>
      <c r="N426" s="119">
        <v>0</v>
      </c>
      <c r="O426" s="119">
        <v>0</v>
      </c>
      <c r="P426" s="119" t="s">
        <v>327</v>
      </c>
    </row>
    <row r="427" spans="8:16">
      <c r="H427" s="116">
        <v>2023</v>
      </c>
      <c r="I427" s="116" t="s">
        <v>354</v>
      </c>
      <c r="J427" s="116" t="s">
        <v>331</v>
      </c>
      <c r="K427" s="118" t="s">
        <v>338</v>
      </c>
      <c r="L427" s="116">
        <v>4</v>
      </c>
      <c r="M427" s="119">
        <f t="shared" ca="1" si="46"/>
        <v>245.71515437453579</v>
      </c>
      <c r="N427" s="119">
        <v>0</v>
      </c>
      <c r="O427" s="119">
        <v>0</v>
      </c>
      <c r="P427" s="119" t="s">
        <v>327</v>
      </c>
    </row>
    <row r="428" spans="8:16">
      <c r="H428" s="116">
        <v>2023</v>
      </c>
      <c r="I428" s="116" t="s">
        <v>354</v>
      </c>
      <c r="J428" s="116" t="s">
        <v>331</v>
      </c>
      <c r="K428" s="118" t="s">
        <v>341</v>
      </c>
      <c r="L428" s="116">
        <v>5</v>
      </c>
      <c r="M428" s="119">
        <f t="shared" ca="1" si="46"/>
        <v>36.857273156180369</v>
      </c>
      <c r="N428" s="119">
        <v>0</v>
      </c>
      <c r="O428" s="119">
        <v>0</v>
      </c>
      <c r="P428" s="119" t="s">
        <v>327</v>
      </c>
    </row>
    <row r="429" spans="8:16">
      <c r="H429" s="116">
        <v>2023</v>
      </c>
      <c r="I429" s="116" t="s">
        <v>354</v>
      </c>
      <c r="J429" s="116" t="s">
        <v>331</v>
      </c>
      <c r="K429" s="118" t="s">
        <v>342</v>
      </c>
      <c r="L429" s="116">
        <v>1</v>
      </c>
      <c r="M429" s="119">
        <f t="shared" ca="1" si="46"/>
        <v>1157.8098074128127</v>
      </c>
      <c r="N429" s="119">
        <v>0</v>
      </c>
      <c r="O429" s="119">
        <v>0</v>
      </c>
      <c r="P429" s="119" t="s">
        <v>327</v>
      </c>
    </row>
    <row r="430" spans="8:16">
      <c r="H430" s="116">
        <v>2023</v>
      </c>
      <c r="I430" s="116" t="s">
        <v>354</v>
      </c>
      <c r="J430" s="116" t="s">
        <v>343</v>
      </c>
      <c r="K430" s="118" t="s">
        <v>289</v>
      </c>
      <c r="L430" s="116">
        <v>2</v>
      </c>
      <c r="M430" s="119">
        <f t="shared" ca="1" si="46"/>
        <v>4812.8227287340324</v>
      </c>
      <c r="N430" s="119">
        <v>0</v>
      </c>
      <c r="O430" s="119">
        <v>0</v>
      </c>
      <c r="P430" s="119" t="s">
        <v>327</v>
      </c>
    </row>
    <row r="431" spans="8:16">
      <c r="H431" s="116">
        <v>2023</v>
      </c>
      <c r="I431" s="116" t="s">
        <v>354</v>
      </c>
      <c r="J431" s="116" t="s">
        <v>344</v>
      </c>
      <c r="K431" s="118" t="s">
        <v>291</v>
      </c>
      <c r="L431" s="116">
        <v>2</v>
      </c>
      <c r="M431" s="119">
        <f t="shared" ca="1" si="46"/>
        <v>461.08176301910322</v>
      </c>
      <c r="N431" s="119">
        <v>0</v>
      </c>
      <c r="O431" s="119">
        <v>0</v>
      </c>
      <c r="P431" s="119" t="s">
        <v>345</v>
      </c>
    </row>
    <row r="432" spans="8:16">
      <c r="H432" s="116">
        <v>2023</v>
      </c>
      <c r="I432" s="116" t="s">
        <v>354</v>
      </c>
      <c r="J432" s="116" t="s">
        <v>344</v>
      </c>
      <c r="K432" s="118" t="s">
        <v>292</v>
      </c>
      <c r="L432" s="116">
        <v>3</v>
      </c>
      <c r="M432" s="119">
        <f t="shared" ca="1" si="46"/>
        <v>103.67585540541847</v>
      </c>
      <c r="N432" s="119">
        <v>0</v>
      </c>
      <c r="O432" s="119">
        <v>0</v>
      </c>
      <c r="P432" s="119" t="s">
        <v>345</v>
      </c>
    </row>
    <row r="433" spans="8:16">
      <c r="H433" s="116">
        <v>2023</v>
      </c>
      <c r="I433" s="116" t="s">
        <v>354</v>
      </c>
      <c r="J433" s="116" t="s">
        <v>295</v>
      </c>
      <c r="K433" s="118" t="s">
        <v>295</v>
      </c>
      <c r="L433" s="116">
        <v>2</v>
      </c>
      <c r="M433" s="119">
        <f t="shared" ca="1" si="46"/>
        <v>2482.1418150808659</v>
      </c>
      <c r="N433" s="119">
        <v>0</v>
      </c>
      <c r="O433" s="119">
        <v>0</v>
      </c>
      <c r="P433" s="119" t="s">
        <v>327</v>
      </c>
    </row>
    <row r="434" spans="8:16">
      <c r="H434" s="116">
        <v>2024</v>
      </c>
      <c r="I434" s="116" t="s">
        <v>326</v>
      </c>
      <c r="J434" s="116" t="s">
        <v>30</v>
      </c>
      <c r="K434" s="118" t="s">
        <v>31</v>
      </c>
      <c r="L434" s="116">
        <v>255</v>
      </c>
      <c r="M434" s="119">
        <f t="shared" ref="M434:M451" ca="1" si="47">S68</f>
        <v>0</v>
      </c>
      <c r="N434" s="119">
        <v>0</v>
      </c>
      <c r="O434" s="119">
        <v>0</v>
      </c>
      <c r="P434" s="119" t="s">
        <v>327</v>
      </c>
    </row>
    <row r="435" spans="8:16">
      <c r="H435" s="116">
        <v>2024</v>
      </c>
      <c r="I435" s="116" t="s">
        <v>326</v>
      </c>
      <c r="J435" s="116" t="s">
        <v>30</v>
      </c>
      <c r="K435" s="118" t="s">
        <v>328</v>
      </c>
      <c r="L435" s="116">
        <v>165</v>
      </c>
      <c r="M435" s="119">
        <f t="shared" ca="1" si="47"/>
        <v>7093.9632135410266</v>
      </c>
      <c r="N435" s="119">
        <v>0</v>
      </c>
      <c r="O435" s="119">
        <v>0</v>
      </c>
      <c r="P435" s="119" t="s">
        <v>327</v>
      </c>
    </row>
    <row r="436" spans="8:16">
      <c r="H436" s="116">
        <v>2024</v>
      </c>
      <c r="I436" s="116" t="s">
        <v>326</v>
      </c>
      <c r="J436" s="116" t="s">
        <v>30</v>
      </c>
      <c r="K436" s="118" t="s">
        <v>329</v>
      </c>
      <c r="L436" s="116">
        <v>75</v>
      </c>
      <c r="M436" s="119">
        <f t="shared" ca="1" si="47"/>
        <v>0</v>
      </c>
      <c r="N436" s="119">
        <v>0</v>
      </c>
      <c r="O436" s="119">
        <v>0</v>
      </c>
      <c r="P436" s="119" t="s">
        <v>327</v>
      </c>
    </row>
    <row r="437" spans="8:16">
      <c r="H437" s="116">
        <v>2024</v>
      </c>
      <c r="I437" s="116" t="s">
        <v>326</v>
      </c>
      <c r="J437" s="116" t="s">
        <v>30</v>
      </c>
      <c r="K437" s="118" t="s">
        <v>330</v>
      </c>
      <c r="L437" s="116">
        <v>15</v>
      </c>
      <c r="M437" s="119">
        <f t="shared" ca="1" si="47"/>
        <v>2680.9269311173794</v>
      </c>
      <c r="N437" s="119">
        <v>0</v>
      </c>
      <c r="O437" s="119">
        <v>0</v>
      </c>
      <c r="P437" s="119" t="s">
        <v>327</v>
      </c>
    </row>
    <row r="438" spans="8:16">
      <c r="H438" s="116">
        <v>2024</v>
      </c>
      <c r="I438" s="116" t="s">
        <v>326</v>
      </c>
      <c r="J438" s="116" t="s">
        <v>278</v>
      </c>
      <c r="K438" s="118" t="s">
        <v>278</v>
      </c>
      <c r="L438" s="116">
        <v>50</v>
      </c>
      <c r="M438" s="119">
        <f t="shared" ca="1" si="47"/>
        <v>361634.48026362475</v>
      </c>
      <c r="N438" s="119">
        <f ca="1">S111</f>
        <v>774839.14852085349</v>
      </c>
      <c r="O438" s="119">
        <f ca="1">S119</f>
        <v>114726.3587104191</v>
      </c>
      <c r="P438" s="119" t="s">
        <v>327</v>
      </c>
    </row>
    <row r="439" spans="8:16">
      <c r="H439" s="116">
        <v>2024</v>
      </c>
      <c r="I439" s="116" t="s">
        <v>326</v>
      </c>
      <c r="J439" s="116" t="s">
        <v>331</v>
      </c>
      <c r="K439" s="118" t="s">
        <v>332</v>
      </c>
      <c r="L439" s="116">
        <v>62.5</v>
      </c>
      <c r="M439" s="119">
        <f t="shared" ca="1" si="47"/>
        <v>5418.9996770105063</v>
      </c>
      <c r="N439" s="119">
        <v>0</v>
      </c>
      <c r="O439" s="119">
        <v>0</v>
      </c>
      <c r="P439" s="119" t="s">
        <v>327</v>
      </c>
    </row>
    <row r="440" spans="8:16">
      <c r="H440" s="116">
        <v>2024</v>
      </c>
      <c r="I440" s="116" t="s">
        <v>326</v>
      </c>
      <c r="J440" s="116" t="s">
        <v>331</v>
      </c>
      <c r="K440" s="118" t="s">
        <v>333</v>
      </c>
      <c r="L440" s="116">
        <v>1</v>
      </c>
      <c r="M440" s="119">
        <f t="shared" ca="1" si="47"/>
        <v>2134.100600073592</v>
      </c>
      <c r="N440" s="119">
        <v>0</v>
      </c>
      <c r="O440" s="119">
        <v>0</v>
      </c>
      <c r="P440" s="119" t="s">
        <v>327</v>
      </c>
    </row>
    <row r="441" spans="8:16">
      <c r="H441" s="116">
        <v>2024</v>
      </c>
      <c r="I441" s="116" t="s">
        <v>326</v>
      </c>
      <c r="J441" s="116" t="s">
        <v>331</v>
      </c>
      <c r="K441" s="118" t="s">
        <v>334</v>
      </c>
      <c r="L441" s="116">
        <v>1</v>
      </c>
      <c r="M441" s="119">
        <f t="shared" ca="1" si="47"/>
        <v>689.69086798315527</v>
      </c>
      <c r="N441" s="119">
        <v>0</v>
      </c>
      <c r="O441" s="119">
        <v>0</v>
      </c>
      <c r="P441" s="119" t="s">
        <v>327</v>
      </c>
    </row>
    <row r="442" spans="8:16">
      <c r="H442" s="116">
        <v>2024</v>
      </c>
      <c r="I442" s="116" t="s">
        <v>326</v>
      </c>
      <c r="J442" s="116" t="s">
        <v>331</v>
      </c>
      <c r="K442" s="118" t="s">
        <v>335</v>
      </c>
      <c r="L442" s="116">
        <v>2</v>
      </c>
      <c r="M442" s="119">
        <f t="shared" ca="1" si="47"/>
        <v>492.63633427368234</v>
      </c>
      <c r="N442" s="119">
        <v>0</v>
      </c>
      <c r="O442" s="119">
        <v>0</v>
      </c>
      <c r="P442" s="119" t="s">
        <v>327</v>
      </c>
    </row>
    <row r="443" spans="8:16">
      <c r="H443" s="116">
        <v>2024</v>
      </c>
      <c r="I443" s="116" t="s">
        <v>326</v>
      </c>
      <c r="J443" s="116" t="s">
        <v>331</v>
      </c>
      <c r="K443" s="118" t="s">
        <v>336</v>
      </c>
      <c r="L443" s="116">
        <v>2</v>
      </c>
      <c r="M443" s="119">
        <f t="shared" ca="1" si="47"/>
        <v>8558.4725080698299</v>
      </c>
      <c r="N443" s="119">
        <v>0</v>
      </c>
      <c r="O443" s="119">
        <v>0</v>
      </c>
      <c r="P443" s="119" t="s">
        <v>327</v>
      </c>
    </row>
    <row r="444" spans="8:16">
      <c r="H444" s="116">
        <v>2024</v>
      </c>
      <c r="I444" s="116" t="s">
        <v>326</v>
      </c>
      <c r="J444" s="116" t="s">
        <v>331</v>
      </c>
      <c r="K444" s="118" t="s">
        <v>337</v>
      </c>
      <c r="L444" s="116">
        <v>1</v>
      </c>
      <c r="M444" s="119">
        <f t="shared" ca="1" si="47"/>
        <v>110.15348434359538</v>
      </c>
      <c r="N444" s="119">
        <v>0</v>
      </c>
      <c r="O444" s="119">
        <v>0</v>
      </c>
      <c r="P444" s="119" t="s">
        <v>327</v>
      </c>
    </row>
    <row r="445" spans="8:16">
      <c r="H445" s="116">
        <v>2024</v>
      </c>
      <c r="I445" s="116" t="s">
        <v>326</v>
      </c>
      <c r="J445" s="116" t="s">
        <v>331</v>
      </c>
      <c r="K445" s="118" t="s">
        <v>338</v>
      </c>
      <c r="L445" s="116">
        <v>4</v>
      </c>
      <c r="M445" s="119">
        <f t="shared" ca="1" si="47"/>
        <v>788.21813483789185</v>
      </c>
      <c r="N445" s="119">
        <v>0</v>
      </c>
      <c r="O445" s="119">
        <v>0</v>
      </c>
      <c r="P445" s="119" t="s">
        <v>327</v>
      </c>
    </row>
    <row r="446" spans="8:16">
      <c r="H446" s="116">
        <v>2024</v>
      </c>
      <c r="I446" s="116" t="s">
        <v>326</v>
      </c>
      <c r="J446" s="116" t="s">
        <v>331</v>
      </c>
      <c r="K446" s="118" t="s">
        <v>341</v>
      </c>
      <c r="L446" s="116">
        <v>5</v>
      </c>
      <c r="M446" s="119">
        <f t="shared" ca="1" si="47"/>
        <v>118.23272022568376</v>
      </c>
      <c r="N446" s="119">
        <v>0</v>
      </c>
      <c r="O446" s="119">
        <v>0</v>
      </c>
      <c r="P446" s="119" t="s">
        <v>327</v>
      </c>
    </row>
    <row r="447" spans="8:16">
      <c r="H447" s="116">
        <v>2024</v>
      </c>
      <c r="I447" s="116" t="s">
        <v>326</v>
      </c>
      <c r="J447" s="116" t="s">
        <v>331</v>
      </c>
      <c r="K447" s="118" t="s">
        <v>342</v>
      </c>
      <c r="L447" s="116">
        <v>1</v>
      </c>
      <c r="M447" s="119">
        <f t="shared" ca="1" si="47"/>
        <v>3714.0838513561457</v>
      </c>
      <c r="N447" s="119">
        <v>0</v>
      </c>
      <c r="O447" s="119">
        <v>0</v>
      </c>
      <c r="P447" s="119" t="s">
        <v>327</v>
      </c>
    </row>
    <row r="448" spans="8:16">
      <c r="H448" s="116">
        <v>2024</v>
      </c>
      <c r="I448" s="116" t="s">
        <v>326</v>
      </c>
      <c r="J448" s="116" t="s">
        <v>343</v>
      </c>
      <c r="K448" s="118" t="s">
        <v>289</v>
      </c>
      <c r="L448" s="116">
        <v>2</v>
      </c>
      <c r="M448" s="119">
        <f t="shared" ca="1" si="47"/>
        <v>15438.828607069789</v>
      </c>
      <c r="N448" s="119">
        <v>0</v>
      </c>
      <c r="O448" s="119">
        <v>0</v>
      </c>
      <c r="P448" s="119" t="s">
        <v>327</v>
      </c>
    </row>
    <row r="449" spans="8:16">
      <c r="H449" s="116">
        <v>2024</v>
      </c>
      <c r="I449" s="116" t="s">
        <v>326</v>
      </c>
      <c r="J449" s="116" t="s">
        <v>344</v>
      </c>
      <c r="K449" s="118" t="s">
        <v>291</v>
      </c>
      <c r="L449" s="116">
        <v>2</v>
      </c>
      <c r="M449" s="119">
        <f t="shared" ca="1" si="47"/>
        <v>1509.2679503090978</v>
      </c>
      <c r="N449" s="119">
        <v>0</v>
      </c>
      <c r="O449" s="119">
        <v>0</v>
      </c>
      <c r="P449" s="119" t="s">
        <v>345</v>
      </c>
    </row>
    <row r="450" spans="8:16">
      <c r="H450" s="116">
        <v>2024</v>
      </c>
      <c r="I450" s="116" t="s">
        <v>326</v>
      </c>
      <c r="J450" s="116" t="s">
        <v>344</v>
      </c>
      <c r="K450" s="118" t="s">
        <v>292</v>
      </c>
      <c r="L450" s="116">
        <v>3</v>
      </c>
      <c r="M450" s="119">
        <f t="shared" ca="1" si="47"/>
        <v>339.36420464713848</v>
      </c>
      <c r="N450" s="119">
        <v>0</v>
      </c>
      <c r="O450" s="119">
        <v>0</v>
      </c>
      <c r="P450" s="119" t="s">
        <v>345</v>
      </c>
    </row>
    <row r="451" spans="8:16">
      <c r="H451" s="116">
        <v>2024</v>
      </c>
      <c r="I451" s="116" t="s">
        <v>326</v>
      </c>
      <c r="J451" s="116" t="s">
        <v>295</v>
      </c>
      <c r="K451" s="118" t="s">
        <v>295</v>
      </c>
      <c r="L451" s="116">
        <v>2</v>
      </c>
      <c r="M451" s="119">
        <f t="shared" ca="1" si="47"/>
        <v>8531.0855028152801</v>
      </c>
      <c r="N451" s="119">
        <v>0</v>
      </c>
      <c r="O451" s="119">
        <v>0</v>
      </c>
      <c r="P451" s="119" t="s">
        <v>327</v>
      </c>
    </row>
    <row r="452" spans="8:16">
      <c r="H452" s="116">
        <v>2024</v>
      </c>
      <c r="I452" s="116" t="s">
        <v>346</v>
      </c>
      <c r="J452" s="116" t="s">
        <v>30</v>
      </c>
      <c r="K452" s="118" t="s">
        <v>31</v>
      </c>
      <c r="L452" s="116">
        <v>255</v>
      </c>
      <c r="M452" s="119">
        <f t="shared" ref="M452:M469" ca="1" si="48">T68</f>
        <v>0</v>
      </c>
      <c r="N452" s="119">
        <v>0</v>
      </c>
      <c r="O452" s="119">
        <v>0</v>
      </c>
      <c r="P452" s="119" t="s">
        <v>327</v>
      </c>
    </row>
    <row r="453" spans="8:16">
      <c r="H453" s="116">
        <v>2024</v>
      </c>
      <c r="I453" s="116" t="s">
        <v>346</v>
      </c>
      <c r="J453" s="116" t="s">
        <v>30</v>
      </c>
      <c r="K453" s="118" t="s">
        <v>328</v>
      </c>
      <c r="L453" s="116">
        <v>165</v>
      </c>
      <c r="M453" s="119">
        <f t="shared" ca="1" si="48"/>
        <v>6553.8734998205609</v>
      </c>
      <c r="N453" s="119">
        <v>0</v>
      </c>
      <c r="O453" s="119">
        <v>0</v>
      </c>
      <c r="P453" s="119" t="s">
        <v>327</v>
      </c>
    </row>
    <row r="454" spans="8:16">
      <c r="H454" s="116">
        <v>2024</v>
      </c>
      <c r="I454" s="116" t="s">
        <v>346</v>
      </c>
      <c r="J454" s="116" t="s">
        <v>30</v>
      </c>
      <c r="K454" s="118" t="s">
        <v>329</v>
      </c>
      <c r="L454" s="116">
        <v>75</v>
      </c>
      <c r="M454" s="119">
        <f t="shared" ca="1" si="48"/>
        <v>0</v>
      </c>
      <c r="N454" s="119">
        <v>0</v>
      </c>
      <c r="O454" s="119">
        <v>0</v>
      </c>
      <c r="P454" s="119" t="s">
        <v>327</v>
      </c>
    </row>
    <row r="455" spans="8:16">
      <c r="H455" s="116">
        <v>2024</v>
      </c>
      <c r="I455" s="116" t="s">
        <v>346</v>
      </c>
      <c r="J455" s="116" t="s">
        <v>30</v>
      </c>
      <c r="K455" s="118" t="s">
        <v>330</v>
      </c>
      <c r="L455" s="116">
        <v>15</v>
      </c>
      <c r="M455" s="119">
        <f t="shared" ca="1" si="48"/>
        <v>2476.8180268071865</v>
      </c>
      <c r="N455" s="119">
        <v>0</v>
      </c>
      <c r="O455" s="119">
        <v>0</v>
      </c>
      <c r="P455" s="119" t="s">
        <v>327</v>
      </c>
    </row>
    <row r="456" spans="8:16">
      <c r="H456" s="116">
        <v>2024</v>
      </c>
      <c r="I456" s="116" t="s">
        <v>346</v>
      </c>
      <c r="J456" s="116" t="s">
        <v>278</v>
      </c>
      <c r="K456" s="118" t="s">
        <v>278</v>
      </c>
      <c r="L456" s="116">
        <v>50</v>
      </c>
      <c r="M456" s="119">
        <f t="shared" ca="1" si="48"/>
        <v>334101.90685751924</v>
      </c>
      <c r="N456" s="119">
        <f ca="1">T111</f>
        <v>507249.64177287236</v>
      </c>
      <c r="O456" s="119">
        <f ca="1">T119</f>
        <v>75105.787399692708</v>
      </c>
      <c r="P456" s="119" t="s">
        <v>327</v>
      </c>
    </row>
    <row r="457" spans="8:16">
      <c r="H457" s="116">
        <v>2024</v>
      </c>
      <c r="I457" s="116" t="s">
        <v>346</v>
      </c>
      <c r="J457" s="116" t="s">
        <v>331</v>
      </c>
      <c r="K457" s="118" t="s">
        <v>332</v>
      </c>
      <c r="L457" s="116">
        <v>62.5</v>
      </c>
      <c r="M457" s="119">
        <f t="shared" ca="1" si="48"/>
        <v>5006.4311456962614</v>
      </c>
      <c r="N457" s="119">
        <v>0</v>
      </c>
      <c r="O457" s="119">
        <v>0</v>
      </c>
      <c r="P457" s="119" t="s">
        <v>327</v>
      </c>
    </row>
    <row r="458" spans="8:16">
      <c r="H458" s="116">
        <v>2024</v>
      </c>
      <c r="I458" s="116" t="s">
        <v>346</v>
      </c>
      <c r="J458" s="116" t="s">
        <v>331</v>
      </c>
      <c r="K458" s="118" t="s">
        <v>333</v>
      </c>
      <c r="L458" s="116">
        <v>1</v>
      </c>
      <c r="M458" s="119">
        <f t="shared" ca="1" si="48"/>
        <v>1971.6236111960186</v>
      </c>
      <c r="N458" s="119">
        <v>0</v>
      </c>
      <c r="O458" s="119">
        <v>0</v>
      </c>
      <c r="P458" s="119" t="s">
        <v>327</v>
      </c>
    </row>
    <row r="459" spans="8:16">
      <c r="H459" s="116">
        <v>2024</v>
      </c>
      <c r="I459" s="116" t="s">
        <v>346</v>
      </c>
      <c r="J459" s="116" t="s">
        <v>331</v>
      </c>
      <c r="K459" s="118" t="s">
        <v>334</v>
      </c>
      <c r="L459" s="116">
        <v>1</v>
      </c>
      <c r="M459" s="119">
        <f t="shared" ca="1" si="48"/>
        <v>637.18214581588779</v>
      </c>
      <c r="N459" s="119">
        <v>0</v>
      </c>
      <c r="O459" s="119">
        <v>0</v>
      </c>
      <c r="P459" s="119" t="s">
        <v>327</v>
      </c>
    </row>
    <row r="460" spans="8:16">
      <c r="H460" s="116">
        <v>2024</v>
      </c>
      <c r="I460" s="116" t="s">
        <v>346</v>
      </c>
      <c r="J460" s="116" t="s">
        <v>331</v>
      </c>
      <c r="K460" s="118" t="s">
        <v>335</v>
      </c>
      <c r="L460" s="116">
        <v>2</v>
      </c>
      <c r="M460" s="119">
        <f t="shared" ca="1" si="48"/>
        <v>455.13010415420553</v>
      </c>
      <c r="N460" s="119">
        <v>0</v>
      </c>
      <c r="O460" s="119">
        <v>0</v>
      </c>
      <c r="P460" s="119" t="s">
        <v>327</v>
      </c>
    </row>
    <row r="461" spans="8:16">
      <c r="H461" s="116">
        <v>2024</v>
      </c>
      <c r="I461" s="116" t="s">
        <v>346</v>
      </c>
      <c r="J461" s="116" t="s">
        <v>331</v>
      </c>
      <c r="K461" s="118" t="s">
        <v>336</v>
      </c>
      <c r="L461" s="116">
        <v>2</v>
      </c>
      <c r="M461" s="119">
        <f t="shared" ca="1" si="48"/>
        <v>7906.8842734501832</v>
      </c>
      <c r="N461" s="119">
        <v>0</v>
      </c>
      <c r="O461" s="119">
        <v>0</v>
      </c>
      <c r="P461" s="119" t="s">
        <v>327</v>
      </c>
    </row>
    <row r="462" spans="8:16">
      <c r="H462" s="116">
        <v>2024</v>
      </c>
      <c r="I462" s="116" t="s">
        <v>346</v>
      </c>
      <c r="J462" s="116" t="s">
        <v>331</v>
      </c>
      <c r="K462" s="118" t="s">
        <v>337</v>
      </c>
      <c r="L462" s="116">
        <v>1</v>
      </c>
      <c r="M462" s="119">
        <f t="shared" ca="1" si="48"/>
        <v>101.76709128888037</v>
      </c>
      <c r="N462" s="119">
        <v>0</v>
      </c>
      <c r="O462" s="119">
        <v>0</v>
      </c>
      <c r="P462" s="119" t="s">
        <v>327</v>
      </c>
    </row>
    <row r="463" spans="8:16">
      <c r="H463" s="116">
        <v>2024</v>
      </c>
      <c r="I463" s="116" t="s">
        <v>346</v>
      </c>
      <c r="J463" s="116" t="s">
        <v>331</v>
      </c>
      <c r="K463" s="118" t="s">
        <v>338</v>
      </c>
      <c r="L463" s="116">
        <v>4</v>
      </c>
      <c r="M463" s="119">
        <f t="shared" ca="1" si="48"/>
        <v>728.20816664672896</v>
      </c>
      <c r="N463" s="119">
        <v>0</v>
      </c>
      <c r="O463" s="119">
        <v>0</v>
      </c>
      <c r="P463" s="119" t="s">
        <v>327</v>
      </c>
    </row>
    <row r="464" spans="8:16">
      <c r="H464" s="116">
        <v>2024</v>
      </c>
      <c r="I464" s="116" t="s">
        <v>346</v>
      </c>
      <c r="J464" s="116" t="s">
        <v>331</v>
      </c>
      <c r="K464" s="118" t="s">
        <v>341</v>
      </c>
      <c r="L464" s="116">
        <v>5</v>
      </c>
      <c r="M464" s="119">
        <f t="shared" ca="1" si="48"/>
        <v>109.23122499700933</v>
      </c>
      <c r="N464" s="119">
        <v>0</v>
      </c>
      <c r="O464" s="119">
        <v>0</v>
      </c>
      <c r="P464" s="119" t="s">
        <v>327</v>
      </c>
    </row>
    <row r="465" spans="8:16">
      <c r="H465" s="116">
        <v>2024</v>
      </c>
      <c r="I465" s="116" t="s">
        <v>346</v>
      </c>
      <c r="J465" s="116" t="s">
        <v>331</v>
      </c>
      <c r="K465" s="118" t="s">
        <v>342</v>
      </c>
      <c r="L465" s="116">
        <v>1</v>
      </c>
      <c r="M465" s="119">
        <f t="shared" ca="1" si="48"/>
        <v>3431.316881239386</v>
      </c>
      <c r="N465" s="119">
        <v>0</v>
      </c>
      <c r="O465" s="119">
        <v>0</v>
      </c>
      <c r="P465" s="119" t="s">
        <v>327</v>
      </c>
    </row>
    <row r="466" spans="8:16">
      <c r="H466" s="116">
        <v>2024</v>
      </c>
      <c r="I466" s="116" t="s">
        <v>346</v>
      </c>
      <c r="J466" s="116" t="s">
        <v>343</v>
      </c>
      <c r="K466" s="118" t="s">
        <v>289</v>
      </c>
      <c r="L466" s="116">
        <v>2</v>
      </c>
      <c r="M466" s="119">
        <f t="shared" ca="1" si="48"/>
        <v>14263.41336010948</v>
      </c>
      <c r="N466" s="119">
        <v>0</v>
      </c>
      <c r="O466" s="119">
        <v>0</v>
      </c>
      <c r="P466" s="119" t="s">
        <v>327</v>
      </c>
    </row>
    <row r="467" spans="8:16">
      <c r="H467" s="116">
        <v>2024</v>
      </c>
      <c r="I467" s="116" t="s">
        <v>346</v>
      </c>
      <c r="J467" s="116" t="s">
        <v>344</v>
      </c>
      <c r="K467" s="118" t="s">
        <v>291</v>
      </c>
      <c r="L467" s="116">
        <v>2</v>
      </c>
      <c r="M467" s="119">
        <f t="shared" ca="1" si="48"/>
        <v>1394.3617870442577</v>
      </c>
      <c r="N467" s="119">
        <v>0</v>
      </c>
      <c r="O467" s="119">
        <v>0</v>
      </c>
      <c r="P467" s="119" t="s">
        <v>345</v>
      </c>
    </row>
    <row r="468" spans="8:16">
      <c r="H468" s="116">
        <v>2024</v>
      </c>
      <c r="I468" s="116" t="s">
        <v>346</v>
      </c>
      <c r="J468" s="116" t="s">
        <v>344</v>
      </c>
      <c r="K468" s="118" t="s">
        <v>292</v>
      </c>
      <c r="L468" s="116">
        <v>3</v>
      </c>
      <c r="M468" s="119">
        <f t="shared" ca="1" si="48"/>
        <v>313.52714987005891</v>
      </c>
      <c r="N468" s="119">
        <v>0</v>
      </c>
      <c r="O468" s="119">
        <v>0</v>
      </c>
      <c r="P468" s="119" t="s">
        <v>345</v>
      </c>
    </row>
    <row r="469" spans="8:16">
      <c r="H469" s="116">
        <v>2024</v>
      </c>
      <c r="I469" s="116" t="s">
        <v>346</v>
      </c>
      <c r="J469" s="116" t="s">
        <v>295</v>
      </c>
      <c r="K469" s="118" t="s">
        <v>295</v>
      </c>
      <c r="L469" s="116">
        <v>2</v>
      </c>
      <c r="M469" s="119">
        <f t="shared" ca="1" si="48"/>
        <v>7881.5823424175233</v>
      </c>
      <c r="N469" s="119">
        <v>0</v>
      </c>
      <c r="O469" s="119">
        <v>0</v>
      </c>
      <c r="P469" s="119" t="s">
        <v>327</v>
      </c>
    </row>
    <row r="470" spans="8:16">
      <c r="H470" s="116">
        <v>2024</v>
      </c>
      <c r="I470" s="116" t="s">
        <v>347</v>
      </c>
      <c r="J470" s="116" t="s">
        <v>30</v>
      </c>
      <c r="K470" s="118" t="s">
        <v>31</v>
      </c>
      <c r="L470" s="116">
        <v>255</v>
      </c>
      <c r="M470" s="119">
        <f t="shared" ref="M470:M487" ca="1" si="49">U68</f>
        <v>0</v>
      </c>
      <c r="N470" s="119">
        <v>0</v>
      </c>
      <c r="O470" s="119">
        <v>0</v>
      </c>
      <c r="P470" s="119" t="s">
        <v>327</v>
      </c>
    </row>
    <row r="471" spans="8:16">
      <c r="H471" s="116">
        <v>2024</v>
      </c>
      <c r="I471" s="116" t="s">
        <v>347</v>
      </c>
      <c r="J471" s="116" t="s">
        <v>30</v>
      </c>
      <c r="K471" s="118" t="s">
        <v>328</v>
      </c>
      <c r="L471" s="116">
        <v>165</v>
      </c>
      <c r="M471" s="119">
        <f t="shared" ca="1" si="49"/>
        <v>602.96012101966301</v>
      </c>
      <c r="N471" s="119">
        <v>0</v>
      </c>
      <c r="O471" s="119">
        <v>0</v>
      </c>
      <c r="P471" s="119" t="s">
        <v>327</v>
      </c>
    </row>
    <row r="472" spans="8:16">
      <c r="H472" s="116">
        <v>2024</v>
      </c>
      <c r="I472" s="116" t="s">
        <v>347</v>
      </c>
      <c r="J472" s="116" t="s">
        <v>30</v>
      </c>
      <c r="K472" s="118" t="s">
        <v>329</v>
      </c>
      <c r="L472" s="116">
        <v>75</v>
      </c>
      <c r="M472" s="119">
        <f t="shared" ca="1" si="49"/>
        <v>0</v>
      </c>
      <c r="N472" s="119">
        <v>0</v>
      </c>
      <c r="O472" s="119">
        <v>0</v>
      </c>
      <c r="P472" s="119" t="s">
        <v>327</v>
      </c>
    </row>
    <row r="473" spans="8:16">
      <c r="H473" s="116">
        <v>2024</v>
      </c>
      <c r="I473" s="116" t="s">
        <v>347</v>
      </c>
      <c r="J473" s="116" t="s">
        <v>30</v>
      </c>
      <c r="K473" s="118" t="s">
        <v>330</v>
      </c>
      <c r="L473" s="116">
        <v>15</v>
      </c>
      <c r="M473" s="119">
        <f t="shared" ca="1" si="49"/>
        <v>227.86867906868096</v>
      </c>
      <c r="N473" s="119">
        <v>0</v>
      </c>
      <c r="O473" s="119">
        <v>0</v>
      </c>
      <c r="P473" s="119" t="s">
        <v>327</v>
      </c>
    </row>
    <row r="474" spans="8:16">
      <c r="H474" s="116">
        <v>2024</v>
      </c>
      <c r="I474" s="116" t="s">
        <v>347</v>
      </c>
      <c r="J474" s="116" t="s">
        <v>278</v>
      </c>
      <c r="K474" s="118" t="s">
        <v>278</v>
      </c>
      <c r="L474" s="116">
        <v>50</v>
      </c>
      <c r="M474" s="119">
        <f t="shared" ca="1" si="49"/>
        <v>30737.567058202374</v>
      </c>
      <c r="N474" s="119">
        <f ca="1">U111</f>
        <v>132901.57478104817</v>
      </c>
      <c r="O474" s="119">
        <f ca="1">U119</f>
        <v>19678.037397331849</v>
      </c>
      <c r="P474" s="119" t="s">
        <v>327</v>
      </c>
    </row>
    <row r="475" spans="8:16">
      <c r="H475" s="116">
        <v>2024</v>
      </c>
      <c r="I475" s="116" t="s">
        <v>347</v>
      </c>
      <c r="J475" s="116" t="s">
        <v>331</v>
      </c>
      <c r="K475" s="118" t="s">
        <v>332</v>
      </c>
      <c r="L475" s="116">
        <v>62.5</v>
      </c>
      <c r="M475" s="119">
        <f t="shared" ca="1" si="49"/>
        <v>460.59453689002027</v>
      </c>
      <c r="N475" s="119">
        <v>0</v>
      </c>
      <c r="O475" s="119">
        <v>0</v>
      </c>
      <c r="P475" s="119" t="s">
        <v>327</v>
      </c>
    </row>
    <row r="476" spans="8:16">
      <c r="H476" s="116">
        <v>2024</v>
      </c>
      <c r="I476" s="116" t="s">
        <v>347</v>
      </c>
      <c r="J476" s="116" t="s">
        <v>331</v>
      </c>
      <c r="K476" s="118" t="s">
        <v>333</v>
      </c>
      <c r="L476" s="116">
        <v>1</v>
      </c>
      <c r="M476" s="119">
        <f t="shared" ca="1" si="49"/>
        <v>181.39050307341529</v>
      </c>
      <c r="N476" s="119">
        <v>0</v>
      </c>
      <c r="O476" s="119">
        <v>0</v>
      </c>
      <c r="P476" s="119" t="s">
        <v>327</v>
      </c>
    </row>
    <row r="477" spans="8:16">
      <c r="H477" s="116">
        <v>2024</v>
      </c>
      <c r="I477" s="116" t="s">
        <v>347</v>
      </c>
      <c r="J477" s="116" t="s">
        <v>331</v>
      </c>
      <c r="K477" s="118" t="s">
        <v>334</v>
      </c>
      <c r="L477" s="116">
        <v>1</v>
      </c>
      <c r="M477" s="119">
        <f t="shared" ca="1" si="49"/>
        <v>58.62112287691167</v>
      </c>
      <c r="N477" s="119">
        <v>0</v>
      </c>
      <c r="O477" s="119">
        <v>0</v>
      </c>
      <c r="P477" s="119" t="s">
        <v>327</v>
      </c>
    </row>
    <row r="478" spans="8:16">
      <c r="H478" s="116">
        <v>2024</v>
      </c>
      <c r="I478" s="116" t="s">
        <v>347</v>
      </c>
      <c r="J478" s="116" t="s">
        <v>331</v>
      </c>
      <c r="K478" s="118" t="s">
        <v>335</v>
      </c>
      <c r="L478" s="116">
        <v>2</v>
      </c>
      <c r="M478" s="119">
        <f t="shared" ca="1" si="49"/>
        <v>41.872230626365479</v>
      </c>
      <c r="N478" s="119">
        <v>0</v>
      </c>
      <c r="O478" s="119">
        <v>0</v>
      </c>
      <c r="P478" s="119" t="s">
        <v>327</v>
      </c>
    </row>
    <row r="479" spans="8:16">
      <c r="H479" s="116">
        <v>2024</v>
      </c>
      <c r="I479" s="116" t="s">
        <v>347</v>
      </c>
      <c r="J479" s="116" t="s">
        <v>331</v>
      </c>
      <c r="K479" s="118" t="s">
        <v>336</v>
      </c>
      <c r="L479" s="116">
        <v>2</v>
      </c>
      <c r="M479" s="119">
        <f t="shared" ca="1" si="49"/>
        <v>727.4378882257223</v>
      </c>
      <c r="N479" s="119">
        <v>0</v>
      </c>
      <c r="O479" s="119">
        <v>0</v>
      </c>
      <c r="P479" s="119" t="s">
        <v>327</v>
      </c>
    </row>
    <row r="480" spans="8:16">
      <c r="H480" s="116">
        <v>2024</v>
      </c>
      <c r="I480" s="116" t="s">
        <v>347</v>
      </c>
      <c r="J480" s="116" t="s">
        <v>331</v>
      </c>
      <c r="K480" s="118" t="s">
        <v>337</v>
      </c>
      <c r="L480" s="116">
        <v>1</v>
      </c>
      <c r="M480" s="119">
        <f t="shared" ca="1" si="49"/>
        <v>9.3626307680553218</v>
      </c>
      <c r="N480" s="119">
        <v>0</v>
      </c>
      <c r="O480" s="119">
        <v>0</v>
      </c>
      <c r="P480" s="119" t="s">
        <v>327</v>
      </c>
    </row>
    <row r="481" spans="8:16">
      <c r="H481" s="116">
        <v>2024</v>
      </c>
      <c r="I481" s="116" t="s">
        <v>347</v>
      </c>
      <c r="J481" s="116" t="s">
        <v>331</v>
      </c>
      <c r="K481" s="118" t="s">
        <v>338</v>
      </c>
      <c r="L481" s="116">
        <v>4</v>
      </c>
      <c r="M481" s="119">
        <f t="shared" ca="1" si="49"/>
        <v>66.99556900218478</v>
      </c>
      <c r="N481" s="119">
        <v>0</v>
      </c>
      <c r="O481" s="119">
        <v>0</v>
      </c>
      <c r="P481" s="119" t="s">
        <v>327</v>
      </c>
    </row>
    <row r="482" spans="8:16">
      <c r="H482" s="116">
        <v>2024</v>
      </c>
      <c r="I482" s="116" t="s">
        <v>347</v>
      </c>
      <c r="J482" s="116" t="s">
        <v>331</v>
      </c>
      <c r="K482" s="118" t="s">
        <v>341</v>
      </c>
      <c r="L482" s="116">
        <v>5</v>
      </c>
      <c r="M482" s="119">
        <f t="shared" ca="1" si="49"/>
        <v>10.049335350327716</v>
      </c>
      <c r="N482" s="119">
        <v>0</v>
      </c>
      <c r="O482" s="119">
        <v>0</v>
      </c>
      <c r="P482" s="119" t="s">
        <v>327</v>
      </c>
    </row>
    <row r="483" spans="8:16">
      <c r="H483" s="116">
        <v>2024</v>
      </c>
      <c r="I483" s="116" t="s">
        <v>347</v>
      </c>
      <c r="J483" s="116" t="s">
        <v>331</v>
      </c>
      <c r="K483" s="118" t="s">
        <v>342</v>
      </c>
      <c r="L483" s="116">
        <v>1</v>
      </c>
      <c r="M483" s="119">
        <f t="shared" ca="1" si="49"/>
        <v>315.68312113829461</v>
      </c>
      <c r="N483" s="119">
        <v>0</v>
      </c>
      <c r="O483" s="119">
        <v>0</v>
      </c>
      <c r="P483" s="119" t="s">
        <v>327</v>
      </c>
    </row>
    <row r="484" spans="8:16">
      <c r="H484" s="116">
        <v>2024</v>
      </c>
      <c r="I484" s="116" t="s">
        <v>347</v>
      </c>
      <c r="J484" s="116" t="s">
        <v>343</v>
      </c>
      <c r="K484" s="118" t="s">
        <v>289</v>
      </c>
      <c r="L484" s="116">
        <v>2</v>
      </c>
      <c r="M484" s="119">
        <f t="shared" ca="1" si="49"/>
        <v>1312.2422100457932</v>
      </c>
      <c r="N484" s="119">
        <v>0</v>
      </c>
      <c r="O484" s="119">
        <v>0</v>
      </c>
      <c r="P484" s="119" t="s">
        <v>327</v>
      </c>
    </row>
    <row r="485" spans="8:16">
      <c r="H485" s="116">
        <v>2024</v>
      </c>
      <c r="I485" s="116" t="s">
        <v>347</v>
      </c>
      <c r="J485" s="116" t="s">
        <v>344</v>
      </c>
      <c r="K485" s="118" t="s">
        <v>291</v>
      </c>
      <c r="L485" s="116">
        <v>2</v>
      </c>
      <c r="M485" s="119">
        <f t="shared" ca="1" si="49"/>
        <v>128.28208415747085</v>
      </c>
      <c r="N485" s="119">
        <v>0</v>
      </c>
      <c r="O485" s="119">
        <v>0</v>
      </c>
      <c r="P485" s="119" t="s">
        <v>345</v>
      </c>
    </row>
    <row r="486" spans="8:16">
      <c r="H486" s="116">
        <v>2024</v>
      </c>
      <c r="I486" s="116" t="s">
        <v>347</v>
      </c>
      <c r="J486" s="116" t="s">
        <v>344</v>
      </c>
      <c r="K486" s="118" t="s">
        <v>292</v>
      </c>
      <c r="L486" s="116">
        <v>3</v>
      </c>
      <c r="M486" s="119">
        <f t="shared" ca="1" si="49"/>
        <v>28.844677614509436</v>
      </c>
      <c r="N486" s="119">
        <v>0</v>
      </c>
      <c r="O486" s="119">
        <v>0</v>
      </c>
      <c r="P486" s="119" t="s">
        <v>345</v>
      </c>
    </row>
    <row r="487" spans="8:16">
      <c r="H487" s="116">
        <v>2024</v>
      </c>
      <c r="I487" s="116" t="s">
        <v>347</v>
      </c>
      <c r="J487" s="116" t="s">
        <v>295</v>
      </c>
      <c r="K487" s="118" t="s">
        <v>295</v>
      </c>
      <c r="L487" s="116">
        <v>2</v>
      </c>
      <c r="M487" s="119">
        <f t="shared" ca="1" si="49"/>
        <v>725.11009605855565</v>
      </c>
      <c r="N487" s="119">
        <v>0</v>
      </c>
      <c r="O487" s="119">
        <v>0</v>
      </c>
      <c r="P487" s="119" t="s">
        <v>327</v>
      </c>
    </row>
    <row r="488" spans="8:16">
      <c r="H488" s="116">
        <v>2024</v>
      </c>
      <c r="I488" s="116" t="s">
        <v>348</v>
      </c>
      <c r="J488" s="116" t="s">
        <v>30</v>
      </c>
      <c r="K488" s="118" t="s">
        <v>31</v>
      </c>
      <c r="L488" s="116">
        <v>255</v>
      </c>
      <c r="M488" s="119">
        <f t="shared" ref="M488:M505" ca="1" si="50">V68</f>
        <v>0</v>
      </c>
      <c r="N488" s="119">
        <v>0</v>
      </c>
      <c r="O488" s="119">
        <v>0</v>
      </c>
      <c r="P488" s="119" t="s">
        <v>327</v>
      </c>
    </row>
    <row r="489" spans="8:16">
      <c r="H489" s="116">
        <v>2024</v>
      </c>
      <c r="I489" s="116" t="s">
        <v>348</v>
      </c>
      <c r="J489" s="116" t="s">
        <v>30</v>
      </c>
      <c r="K489" s="118" t="s">
        <v>328</v>
      </c>
      <c r="L489" s="116">
        <v>165</v>
      </c>
      <c r="M489" s="119">
        <f t="shared" ca="1" si="50"/>
        <v>5565.9611103600801</v>
      </c>
      <c r="N489" s="119">
        <v>0</v>
      </c>
      <c r="O489" s="119">
        <v>0</v>
      </c>
      <c r="P489" s="119" t="s">
        <v>327</v>
      </c>
    </row>
    <row r="490" spans="8:16">
      <c r="H490" s="116">
        <v>2024</v>
      </c>
      <c r="I490" s="116" t="s">
        <v>348</v>
      </c>
      <c r="J490" s="116" t="s">
        <v>30</v>
      </c>
      <c r="K490" s="118" t="s">
        <v>329</v>
      </c>
      <c r="L490" s="116">
        <v>75</v>
      </c>
      <c r="M490" s="119">
        <f t="shared" ca="1" si="50"/>
        <v>0</v>
      </c>
      <c r="N490" s="119">
        <v>0</v>
      </c>
      <c r="O490" s="119">
        <v>0</v>
      </c>
      <c r="P490" s="119" t="s">
        <v>327</v>
      </c>
    </row>
    <row r="491" spans="8:16">
      <c r="H491" s="116">
        <v>2024</v>
      </c>
      <c r="I491" s="116" t="s">
        <v>348</v>
      </c>
      <c r="J491" s="116" t="s">
        <v>30</v>
      </c>
      <c r="K491" s="118" t="s">
        <v>330</v>
      </c>
      <c r="L491" s="116">
        <v>15</v>
      </c>
      <c r="M491" s="119">
        <f t="shared" ca="1" si="50"/>
        <v>2103.4694696235802</v>
      </c>
      <c r="N491" s="119">
        <v>0</v>
      </c>
      <c r="O491" s="119">
        <v>0</v>
      </c>
      <c r="P491" s="119" t="s">
        <v>327</v>
      </c>
    </row>
    <row r="492" spans="8:16">
      <c r="H492" s="116">
        <v>2024</v>
      </c>
      <c r="I492" s="116" t="s">
        <v>348</v>
      </c>
      <c r="J492" s="116" t="s">
        <v>278</v>
      </c>
      <c r="K492" s="118" t="s">
        <v>278</v>
      </c>
      <c r="L492" s="116">
        <v>50</v>
      </c>
      <c r="M492" s="119">
        <f t="shared" ca="1" si="50"/>
        <v>283740.32860368938</v>
      </c>
      <c r="N492" s="119">
        <f ca="1">V111</f>
        <v>151626.53205420924</v>
      </c>
      <c r="O492" s="119">
        <f ca="1">V119</f>
        <v>22450.54336719526</v>
      </c>
      <c r="P492" s="119" t="s">
        <v>327</v>
      </c>
    </row>
    <row r="493" spans="8:16">
      <c r="H493" s="116">
        <v>2024</v>
      </c>
      <c r="I493" s="116" t="s">
        <v>348</v>
      </c>
      <c r="J493" s="116" t="s">
        <v>331</v>
      </c>
      <c r="K493" s="118" t="s">
        <v>332</v>
      </c>
      <c r="L493" s="116">
        <v>62.5</v>
      </c>
      <c r="M493" s="119">
        <f t="shared" ca="1" si="50"/>
        <v>4251.7758481917272</v>
      </c>
      <c r="N493" s="119">
        <v>0</v>
      </c>
      <c r="O493" s="119">
        <v>0</v>
      </c>
      <c r="P493" s="119" t="s">
        <v>327</v>
      </c>
    </row>
    <row r="494" spans="8:16">
      <c r="H494" s="116">
        <v>2024</v>
      </c>
      <c r="I494" s="116" t="s">
        <v>348</v>
      </c>
      <c r="J494" s="116" t="s">
        <v>331</v>
      </c>
      <c r="K494" s="118" t="s">
        <v>333</v>
      </c>
      <c r="L494" s="116">
        <v>1</v>
      </c>
      <c r="M494" s="119">
        <f t="shared" ca="1" si="50"/>
        <v>1674.426634033324</v>
      </c>
      <c r="N494" s="119">
        <v>0</v>
      </c>
      <c r="O494" s="119">
        <v>0</v>
      </c>
      <c r="P494" s="119" t="s">
        <v>327</v>
      </c>
    </row>
    <row r="495" spans="8:16">
      <c r="H495" s="116">
        <v>2024</v>
      </c>
      <c r="I495" s="116" t="s">
        <v>348</v>
      </c>
      <c r="J495" s="116" t="s">
        <v>331</v>
      </c>
      <c r="K495" s="118" t="s">
        <v>334</v>
      </c>
      <c r="L495" s="116">
        <v>1</v>
      </c>
      <c r="M495" s="119">
        <f t="shared" ca="1" si="50"/>
        <v>541.1351079516744</v>
      </c>
      <c r="N495" s="119">
        <v>0</v>
      </c>
      <c r="O495" s="119">
        <v>0</v>
      </c>
      <c r="P495" s="119" t="s">
        <v>327</v>
      </c>
    </row>
    <row r="496" spans="8:16">
      <c r="H496" s="116">
        <v>2024</v>
      </c>
      <c r="I496" s="116" t="s">
        <v>348</v>
      </c>
      <c r="J496" s="116" t="s">
        <v>331</v>
      </c>
      <c r="K496" s="118" t="s">
        <v>335</v>
      </c>
      <c r="L496" s="116">
        <v>2</v>
      </c>
      <c r="M496" s="119">
        <f t="shared" ca="1" si="50"/>
        <v>386.52507710833885</v>
      </c>
      <c r="N496" s="119">
        <v>0</v>
      </c>
      <c r="O496" s="119">
        <v>0</v>
      </c>
      <c r="P496" s="119" t="s">
        <v>327</v>
      </c>
    </row>
    <row r="497" spans="8:16">
      <c r="H497" s="116">
        <v>2024</v>
      </c>
      <c r="I497" s="116" t="s">
        <v>348</v>
      </c>
      <c r="J497" s="116" t="s">
        <v>331</v>
      </c>
      <c r="K497" s="118" t="s">
        <v>336</v>
      </c>
      <c r="L497" s="116">
        <v>2</v>
      </c>
      <c r="M497" s="119">
        <f t="shared" ca="1" si="50"/>
        <v>6715.0228595877497</v>
      </c>
      <c r="N497" s="119">
        <v>0</v>
      </c>
      <c r="O497" s="119">
        <v>0</v>
      </c>
      <c r="P497" s="119" t="s">
        <v>327</v>
      </c>
    </row>
    <row r="498" spans="8:16">
      <c r="H498" s="116">
        <v>2024</v>
      </c>
      <c r="I498" s="116" t="s">
        <v>348</v>
      </c>
      <c r="J498" s="116" t="s">
        <v>331</v>
      </c>
      <c r="K498" s="118" t="s">
        <v>337</v>
      </c>
      <c r="L498" s="116">
        <v>1</v>
      </c>
      <c r="M498" s="119">
        <f t="shared" ca="1" si="50"/>
        <v>86.427007241424576</v>
      </c>
      <c r="N498" s="119">
        <v>0</v>
      </c>
      <c r="O498" s="119">
        <v>0</v>
      </c>
      <c r="P498" s="119" t="s">
        <v>327</v>
      </c>
    </row>
    <row r="499" spans="8:16">
      <c r="H499" s="116">
        <v>2024</v>
      </c>
      <c r="I499" s="116" t="s">
        <v>348</v>
      </c>
      <c r="J499" s="116" t="s">
        <v>331</v>
      </c>
      <c r="K499" s="118" t="s">
        <v>338</v>
      </c>
      <c r="L499" s="116">
        <v>4</v>
      </c>
      <c r="M499" s="119">
        <f t="shared" ca="1" si="50"/>
        <v>618.4401233733422</v>
      </c>
      <c r="N499" s="119">
        <v>0</v>
      </c>
      <c r="O499" s="119">
        <v>0</v>
      </c>
      <c r="P499" s="119" t="s">
        <v>327</v>
      </c>
    </row>
    <row r="500" spans="8:16">
      <c r="H500" s="116">
        <v>2024</v>
      </c>
      <c r="I500" s="116" t="s">
        <v>348</v>
      </c>
      <c r="J500" s="116" t="s">
        <v>331</v>
      </c>
      <c r="K500" s="118" t="s">
        <v>341</v>
      </c>
      <c r="L500" s="116">
        <v>5</v>
      </c>
      <c r="M500" s="119">
        <f t="shared" ca="1" si="50"/>
        <v>92.76601850600133</v>
      </c>
      <c r="N500" s="119">
        <v>0</v>
      </c>
      <c r="O500" s="119">
        <v>0</v>
      </c>
      <c r="P500" s="119" t="s">
        <v>327</v>
      </c>
    </row>
    <row r="501" spans="8:16">
      <c r="H501" s="116">
        <v>2024</v>
      </c>
      <c r="I501" s="116" t="s">
        <v>348</v>
      </c>
      <c r="J501" s="116" t="s">
        <v>331</v>
      </c>
      <c r="K501" s="118" t="s">
        <v>342</v>
      </c>
      <c r="L501" s="116">
        <v>1</v>
      </c>
      <c r="M501" s="119">
        <f t="shared" ca="1" si="50"/>
        <v>2914.0898613351883</v>
      </c>
      <c r="N501" s="119">
        <v>0</v>
      </c>
      <c r="O501" s="119">
        <v>0</v>
      </c>
      <c r="P501" s="119" t="s">
        <v>327</v>
      </c>
    </row>
    <row r="502" spans="8:16">
      <c r="H502" s="116">
        <v>2024</v>
      </c>
      <c r="I502" s="116" t="s">
        <v>348</v>
      </c>
      <c r="J502" s="116" t="s">
        <v>343</v>
      </c>
      <c r="K502" s="118" t="s">
        <v>289</v>
      </c>
      <c r="L502" s="116">
        <v>2</v>
      </c>
      <c r="M502" s="119">
        <f t="shared" ca="1" si="50"/>
        <v>12113.386696513655</v>
      </c>
      <c r="N502" s="119">
        <v>0</v>
      </c>
      <c r="O502" s="119">
        <v>0</v>
      </c>
      <c r="P502" s="119" t="s">
        <v>327</v>
      </c>
    </row>
    <row r="503" spans="8:16">
      <c r="H503" s="116">
        <v>2024</v>
      </c>
      <c r="I503" s="116" t="s">
        <v>348</v>
      </c>
      <c r="J503" s="116" t="s">
        <v>344</v>
      </c>
      <c r="K503" s="118" t="s">
        <v>291</v>
      </c>
      <c r="L503" s="116">
        <v>2</v>
      </c>
      <c r="M503" s="119">
        <f t="shared" ca="1" si="50"/>
        <v>1184.1796276160976</v>
      </c>
      <c r="N503" s="119">
        <v>0</v>
      </c>
      <c r="O503" s="119">
        <v>0</v>
      </c>
      <c r="P503" s="119" t="s">
        <v>345</v>
      </c>
    </row>
    <row r="504" spans="8:16">
      <c r="H504" s="116">
        <v>2024</v>
      </c>
      <c r="I504" s="116" t="s">
        <v>348</v>
      </c>
      <c r="J504" s="116" t="s">
        <v>344</v>
      </c>
      <c r="K504" s="118" t="s">
        <v>292</v>
      </c>
      <c r="L504" s="116">
        <v>3</v>
      </c>
      <c r="M504" s="119">
        <f t="shared" ca="1" si="50"/>
        <v>266.26695240098286</v>
      </c>
      <c r="N504" s="119">
        <v>0</v>
      </c>
      <c r="O504" s="119">
        <v>0</v>
      </c>
      <c r="P504" s="119" t="s">
        <v>345</v>
      </c>
    </row>
    <row r="505" spans="8:16">
      <c r="H505" s="116">
        <v>2024</v>
      </c>
      <c r="I505" s="116" t="s">
        <v>348</v>
      </c>
      <c r="J505" s="116" t="s">
        <v>295</v>
      </c>
      <c r="K505" s="118" t="s">
        <v>295</v>
      </c>
      <c r="L505" s="116">
        <v>2</v>
      </c>
      <c r="M505" s="119">
        <f t="shared" ca="1" si="50"/>
        <v>6693.5348702103756</v>
      </c>
      <c r="N505" s="119">
        <v>0</v>
      </c>
      <c r="O505" s="119">
        <v>0</v>
      </c>
      <c r="P505" s="119" t="s">
        <v>327</v>
      </c>
    </row>
    <row r="506" spans="8:16">
      <c r="H506" s="116">
        <v>2024</v>
      </c>
      <c r="I506" s="116" t="s">
        <v>349</v>
      </c>
      <c r="J506" s="116" t="s">
        <v>30</v>
      </c>
      <c r="K506" s="118" t="s">
        <v>31</v>
      </c>
      <c r="L506" s="116">
        <v>255</v>
      </c>
      <c r="M506" s="119">
        <f t="shared" ref="M506:M523" ca="1" si="51">W68</f>
        <v>0</v>
      </c>
      <c r="N506" s="119">
        <v>0</v>
      </c>
      <c r="O506" s="119">
        <v>0</v>
      </c>
      <c r="P506" s="119" t="s">
        <v>327</v>
      </c>
    </row>
    <row r="507" spans="8:16">
      <c r="H507" s="116">
        <v>2024</v>
      </c>
      <c r="I507" s="116" t="s">
        <v>349</v>
      </c>
      <c r="J507" s="116" t="s">
        <v>30</v>
      </c>
      <c r="K507" s="118" t="s">
        <v>328</v>
      </c>
      <c r="L507" s="116">
        <v>165</v>
      </c>
      <c r="M507" s="119">
        <f t="shared" ca="1" si="51"/>
        <v>610.03919017031433</v>
      </c>
      <c r="N507" s="119">
        <v>0</v>
      </c>
      <c r="O507" s="119">
        <v>0</v>
      </c>
      <c r="P507" s="119" t="s">
        <v>327</v>
      </c>
    </row>
    <row r="508" spans="8:16">
      <c r="H508" s="116">
        <v>2024</v>
      </c>
      <c r="I508" s="116" t="s">
        <v>349</v>
      </c>
      <c r="J508" s="116" t="s">
        <v>30</v>
      </c>
      <c r="K508" s="118" t="s">
        <v>329</v>
      </c>
      <c r="L508" s="116">
        <v>75</v>
      </c>
      <c r="M508" s="119">
        <f t="shared" ca="1" si="51"/>
        <v>0</v>
      </c>
      <c r="N508" s="119">
        <v>0</v>
      </c>
      <c r="O508" s="119">
        <v>0</v>
      </c>
      <c r="P508" s="119" t="s">
        <v>327</v>
      </c>
    </row>
    <row r="509" spans="8:16">
      <c r="H509" s="116">
        <v>2024</v>
      </c>
      <c r="I509" s="116" t="s">
        <v>349</v>
      </c>
      <c r="J509" s="116" t="s">
        <v>30</v>
      </c>
      <c r="K509" s="118" t="s">
        <v>330</v>
      </c>
      <c r="L509" s="116">
        <v>15</v>
      </c>
      <c r="M509" s="119">
        <f t="shared" ca="1" si="51"/>
        <v>230.54397728519791</v>
      </c>
      <c r="N509" s="119">
        <v>0</v>
      </c>
      <c r="O509" s="119">
        <v>0</v>
      </c>
      <c r="P509" s="119" t="s">
        <v>327</v>
      </c>
    </row>
    <row r="510" spans="8:16">
      <c r="H510" s="116">
        <v>2024</v>
      </c>
      <c r="I510" s="116" t="s">
        <v>349</v>
      </c>
      <c r="J510" s="116" t="s">
        <v>278</v>
      </c>
      <c r="K510" s="118" t="s">
        <v>278</v>
      </c>
      <c r="L510" s="116">
        <v>50</v>
      </c>
      <c r="M510" s="119">
        <f t="shared" ca="1" si="51"/>
        <v>31098.442272237797</v>
      </c>
      <c r="N510" s="119">
        <f ca="1">W111</f>
        <v>328842.94967979653</v>
      </c>
      <c r="O510" s="119">
        <f ca="1">W119</f>
        <v>48690.046542403477</v>
      </c>
      <c r="P510" s="119" t="s">
        <v>327</v>
      </c>
    </row>
    <row r="511" spans="8:16">
      <c r="H511" s="116">
        <v>2024</v>
      </c>
      <c r="I511" s="116" t="s">
        <v>349</v>
      </c>
      <c r="J511" s="116" t="s">
        <v>331</v>
      </c>
      <c r="K511" s="118" t="s">
        <v>332</v>
      </c>
      <c r="L511" s="116">
        <v>62.5</v>
      </c>
      <c r="M511" s="119">
        <f t="shared" ca="1" si="51"/>
        <v>466.00215915787891</v>
      </c>
      <c r="N511" s="119">
        <v>0</v>
      </c>
      <c r="O511" s="119">
        <v>0</v>
      </c>
      <c r="P511" s="119" t="s">
        <v>327</v>
      </c>
    </row>
    <row r="512" spans="8:16">
      <c r="H512" s="116">
        <v>2024</v>
      </c>
      <c r="I512" s="116" t="s">
        <v>349</v>
      </c>
      <c r="J512" s="116" t="s">
        <v>331</v>
      </c>
      <c r="K512" s="118" t="s">
        <v>333</v>
      </c>
      <c r="L512" s="116">
        <v>1</v>
      </c>
      <c r="M512" s="119">
        <f t="shared" ca="1" si="51"/>
        <v>183.52012304290287</v>
      </c>
      <c r="N512" s="119">
        <v>0</v>
      </c>
      <c r="O512" s="119">
        <v>0</v>
      </c>
      <c r="P512" s="119" t="s">
        <v>327</v>
      </c>
    </row>
    <row r="513" spans="8:16">
      <c r="H513" s="116">
        <v>2024</v>
      </c>
      <c r="I513" s="116" t="s">
        <v>349</v>
      </c>
      <c r="J513" s="116" t="s">
        <v>331</v>
      </c>
      <c r="K513" s="118" t="s">
        <v>334</v>
      </c>
      <c r="L513" s="116">
        <v>1</v>
      </c>
      <c r="M513" s="119">
        <f t="shared" ca="1" si="51"/>
        <v>59.309365711002769</v>
      </c>
      <c r="N513" s="119">
        <v>0</v>
      </c>
      <c r="O513" s="119">
        <v>0</v>
      </c>
      <c r="P513" s="119" t="s">
        <v>327</v>
      </c>
    </row>
    <row r="514" spans="8:16">
      <c r="H514" s="116">
        <v>2024</v>
      </c>
      <c r="I514" s="116" t="s">
        <v>349</v>
      </c>
      <c r="J514" s="116" t="s">
        <v>331</v>
      </c>
      <c r="K514" s="118" t="s">
        <v>335</v>
      </c>
      <c r="L514" s="116">
        <v>2</v>
      </c>
      <c r="M514" s="119">
        <f t="shared" ca="1" si="51"/>
        <v>42.363832650716262</v>
      </c>
      <c r="N514" s="119">
        <v>0</v>
      </c>
      <c r="O514" s="119">
        <v>0</v>
      </c>
      <c r="P514" s="119" t="s">
        <v>327</v>
      </c>
    </row>
    <row r="515" spans="8:16">
      <c r="H515" s="116">
        <v>2024</v>
      </c>
      <c r="I515" s="116" t="s">
        <v>349</v>
      </c>
      <c r="J515" s="116" t="s">
        <v>331</v>
      </c>
      <c r="K515" s="118" t="s">
        <v>336</v>
      </c>
      <c r="L515" s="116">
        <v>2</v>
      </c>
      <c r="M515" s="119">
        <f t="shared" ca="1" si="51"/>
        <v>735.97839187436364</v>
      </c>
      <c r="N515" s="119">
        <v>0</v>
      </c>
      <c r="O515" s="119">
        <v>0</v>
      </c>
      <c r="P515" s="119" t="s">
        <v>327</v>
      </c>
    </row>
    <row r="516" spans="8:16">
      <c r="H516" s="116">
        <v>2024</v>
      </c>
      <c r="I516" s="116" t="s">
        <v>349</v>
      </c>
      <c r="J516" s="116" t="s">
        <v>331</v>
      </c>
      <c r="K516" s="118" t="s">
        <v>337</v>
      </c>
      <c r="L516" s="116">
        <v>1</v>
      </c>
      <c r="M516" s="119">
        <f t="shared" ca="1" si="51"/>
        <v>9.4725529807001578</v>
      </c>
      <c r="N516" s="119">
        <v>0</v>
      </c>
      <c r="O516" s="119">
        <v>0</v>
      </c>
      <c r="P516" s="119" t="s">
        <v>327</v>
      </c>
    </row>
    <row r="517" spans="8:16">
      <c r="H517" s="116">
        <v>2024</v>
      </c>
      <c r="I517" s="116" t="s">
        <v>349</v>
      </c>
      <c r="J517" s="116" t="s">
        <v>331</v>
      </c>
      <c r="K517" s="118" t="s">
        <v>338</v>
      </c>
      <c r="L517" s="116">
        <v>4</v>
      </c>
      <c r="M517" s="119">
        <f t="shared" ca="1" si="51"/>
        <v>67.78213224114603</v>
      </c>
      <c r="N517" s="119">
        <v>0</v>
      </c>
      <c r="O517" s="119">
        <v>0</v>
      </c>
      <c r="P517" s="119" t="s">
        <v>327</v>
      </c>
    </row>
    <row r="518" spans="8:16">
      <c r="H518" s="116">
        <v>2024</v>
      </c>
      <c r="I518" s="116" t="s">
        <v>349</v>
      </c>
      <c r="J518" s="116" t="s">
        <v>331</v>
      </c>
      <c r="K518" s="118" t="s">
        <v>341</v>
      </c>
      <c r="L518" s="116">
        <v>5</v>
      </c>
      <c r="M518" s="119">
        <f t="shared" ca="1" si="51"/>
        <v>10.167319836171904</v>
      </c>
      <c r="N518" s="119">
        <v>0</v>
      </c>
      <c r="O518" s="119">
        <v>0</v>
      </c>
      <c r="P518" s="119" t="s">
        <v>327</v>
      </c>
    </row>
    <row r="519" spans="8:16">
      <c r="H519" s="116">
        <v>2024</v>
      </c>
      <c r="I519" s="116" t="s">
        <v>349</v>
      </c>
      <c r="J519" s="116" t="s">
        <v>331</v>
      </c>
      <c r="K519" s="118" t="s">
        <v>342</v>
      </c>
      <c r="L519" s="116">
        <v>1</v>
      </c>
      <c r="M519" s="119">
        <f t="shared" ca="1" si="51"/>
        <v>319.38940712028005</v>
      </c>
      <c r="N519" s="119">
        <v>0</v>
      </c>
      <c r="O519" s="119">
        <v>0</v>
      </c>
      <c r="P519" s="119" t="s">
        <v>327</v>
      </c>
    </row>
    <row r="520" spans="8:16">
      <c r="H520" s="116">
        <v>2024</v>
      </c>
      <c r="I520" s="116" t="s">
        <v>349</v>
      </c>
      <c r="J520" s="116" t="s">
        <v>343</v>
      </c>
      <c r="K520" s="118" t="s">
        <v>289</v>
      </c>
      <c r="L520" s="116">
        <v>2</v>
      </c>
      <c r="M520" s="119">
        <f t="shared" ca="1" si="51"/>
        <v>1327.6486242073274</v>
      </c>
      <c r="N520" s="119">
        <v>0</v>
      </c>
      <c r="O520" s="119">
        <v>0</v>
      </c>
      <c r="P520" s="119" t="s">
        <v>327</v>
      </c>
    </row>
    <row r="521" spans="8:16">
      <c r="H521" s="116">
        <v>2024</v>
      </c>
      <c r="I521" s="116" t="s">
        <v>349</v>
      </c>
      <c r="J521" s="116" t="s">
        <v>344</v>
      </c>
      <c r="K521" s="118" t="s">
        <v>291</v>
      </c>
      <c r="L521" s="116">
        <v>2</v>
      </c>
      <c r="M521" s="119">
        <f t="shared" ca="1" si="51"/>
        <v>129.78818333863177</v>
      </c>
      <c r="N521" s="119">
        <v>0</v>
      </c>
      <c r="O521" s="119">
        <v>0</v>
      </c>
      <c r="P521" s="119" t="s">
        <v>345</v>
      </c>
    </row>
    <row r="522" spans="8:16">
      <c r="H522" s="116">
        <v>2024</v>
      </c>
      <c r="I522" s="116" t="s">
        <v>349</v>
      </c>
      <c r="J522" s="116" t="s">
        <v>344</v>
      </c>
      <c r="K522" s="118" t="s">
        <v>292</v>
      </c>
      <c r="L522" s="116">
        <v>3</v>
      </c>
      <c r="M522" s="119">
        <f t="shared" ca="1" si="51"/>
        <v>29.183329310273404</v>
      </c>
      <c r="N522" s="119">
        <v>0</v>
      </c>
      <c r="O522" s="119">
        <v>0</v>
      </c>
      <c r="P522" s="119" t="s">
        <v>345</v>
      </c>
    </row>
    <row r="523" spans="8:16">
      <c r="H523" s="116">
        <v>2024</v>
      </c>
      <c r="I523" s="116" t="s">
        <v>349</v>
      </c>
      <c r="J523" s="116" t="s">
        <v>295</v>
      </c>
      <c r="K523" s="118" t="s">
        <v>295</v>
      </c>
      <c r="L523" s="116">
        <v>2</v>
      </c>
      <c r="M523" s="119">
        <f t="shared" ca="1" si="51"/>
        <v>733.6232702020684</v>
      </c>
      <c r="N523" s="119">
        <v>0</v>
      </c>
      <c r="O523" s="119">
        <v>0</v>
      </c>
      <c r="P523" s="119" t="s">
        <v>327</v>
      </c>
    </row>
    <row r="524" spans="8:16">
      <c r="H524" s="116">
        <v>2024</v>
      </c>
      <c r="I524" s="116" t="s">
        <v>350</v>
      </c>
      <c r="J524" s="116" t="s">
        <v>30</v>
      </c>
      <c r="K524" s="118" t="s">
        <v>31</v>
      </c>
      <c r="L524" s="116">
        <v>255</v>
      </c>
      <c r="M524" s="119">
        <f t="shared" ref="M524:M541" ca="1" si="52">X68</f>
        <v>0</v>
      </c>
      <c r="N524" s="119">
        <v>0</v>
      </c>
      <c r="O524" s="119">
        <v>0</v>
      </c>
      <c r="P524" s="119" t="s">
        <v>327</v>
      </c>
    </row>
    <row r="525" spans="8:16">
      <c r="H525" s="116">
        <v>2024</v>
      </c>
      <c r="I525" s="116" t="s">
        <v>350</v>
      </c>
      <c r="J525" s="116" t="s">
        <v>30</v>
      </c>
      <c r="K525" s="118" t="s">
        <v>328</v>
      </c>
      <c r="L525" s="116">
        <v>165</v>
      </c>
      <c r="M525" s="119">
        <f t="shared" ca="1" si="52"/>
        <v>6478.9505861294692</v>
      </c>
      <c r="N525" s="119">
        <v>0</v>
      </c>
      <c r="O525" s="119">
        <v>0</v>
      </c>
      <c r="P525" s="119" t="s">
        <v>327</v>
      </c>
    </row>
    <row r="526" spans="8:16">
      <c r="H526" s="116">
        <v>2024</v>
      </c>
      <c r="I526" s="116" t="s">
        <v>350</v>
      </c>
      <c r="J526" s="116" t="s">
        <v>30</v>
      </c>
      <c r="K526" s="118" t="s">
        <v>329</v>
      </c>
      <c r="L526" s="116">
        <v>75</v>
      </c>
      <c r="M526" s="119">
        <f t="shared" ca="1" si="52"/>
        <v>0</v>
      </c>
      <c r="N526" s="119">
        <v>0</v>
      </c>
      <c r="O526" s="119">
        <v>0</v>
      </c>
      <c r="P526" s="119" t="s">
        <v>327</v>
      </c>
    </row>
    <row r="527" spans="8:16">
      <c r="H527" s="116">
        <v>2024</v>
      </c>
      <c r="I527" s="116" t="s">
        <v>350</v>
      </c>
      <c r="J527" s="116" t="s">
        <v>30</v>
      </c>
      <c r="K527" s="118" t="s">
        <v>330</v>
      </c>
      <c r="L527" s="116">
        <v>15</v>
      </c>
      <c r="M527" s="119">
        <f t="shared" ca="1" si="52"/>
        <v>2448.5034090080949</v>
      </c>
      <c r="N527" s="119">
        <v>0</v>
      </c>
      <c r="O527" s="119">
        <v>0</v>
      </c>
      <c r="P527" s="119" t="s">
        <v>327</v>
      </c>
    </row>
    <row r="528" spans="8:16">
      <c r="H528" s="116">
        <v>2024</v>
      </c>
      <c r="I528" s="116" t="s">
        <v>350</v>
      </c>
      <c r="J528" s="116" t="s">
        <v>278</v>
      </c>
      <c r="K528" s="118" t="s">
        <v>278</v>
      </c>
      <c r="L528" s="116">
        <v>50</v>
      </c>
      <c r="M528" s="119">
        <f t="shared" ca="1" si="52"/>
        <v>330282.50321291114</v>
      </c>
      <c r="N528" s="119">
        <f ca="1">X111</f>
        <v>47945.509581387392</v>
      </c>
      <c r="O528" s="119">
        <f ca="1">X119</f>
        <v>7099.0395119923996</v>
      </c>
      <c r="P528" s="119" t="s">
        <v>327</v>
      </c>
    </row>
    <row r="529" spans="8:16">
      <c r="H529" s="116">
        <v>2024</v>
      </c>
      <c r="I529" s="116" t="s">
        <v>350</v>
      </c>
      <c r="J529" s="116" t="s">
        <v>331</v>
      </c>
      <c r="K529" s="118" t="s">
        <v>332</v>
      </c>
      <c r="L529" s="116">
        <v>62.5</v>
      </c>
      <c r="M529" s="119">
        <f t="shared" ca="1" si="52"/>
        <v>4949.1983644044549</v>
      </c>
      <c r="N529" s="119">
        <v>0</v>
      </c>
      <c r="O529" s="119">
        <v>0</v>
      </c>
      <c r="P529" s="119" t="s">
        <v>327</v>
      </c>
    </row>
    <row r="530" spans="8:16">
      <c r="H530" s="116">
        <v>2024</v>
      </c>
      <c r="I530" s="116" t="s">
        <v>350</v>
      </c>
      <c r="J530" s="116" t="s">
        <v>331</v>
      </c>
      <c r="K530" s="118" t="s">
        <v>333</v>
      </c>
      <c r="L530" s="116">
        <v>1</v>
      </c>
      <c r="M530" s="119">
        <f t="shared" ca="1" si="52"/>
        <v>1949.084301327282</v>
      </c>
      <c r="N530" s="119">
        <v>0</v>
      </c>
      <c r="O530" s="119">
        <v>0</v>
      </c>
      <c r="P530" s="119" t="s">
        <v>327</v>
      </c>
    </row>
    <row r="531" spans="8:16">
      <c r="H531" s="116">
        <v>2024</v>
      </c>
      <c r="I531" s="116" t="s">
        <v>350</v>
      </c>
      <c r="J531" s="116" t="s">
        <v>331</v>
      </c>
      <c r="K531" s="118" t="s">
        <v>334</v>
      </c>
      <c r="L531" s="116">
        <v>1</v>
      </c>
      <c r="M531" s="119">
        <f t="shared" ca="1" si="52"/>
        <v>629.89797365147615</v>
      </c>
      <c r="N531" s="119">
        <v>0</v>
      </c>
      <c r="O531" s="119">
        <v>0</v>
      </c>
      <c r="P531" s="119" t="s">
        <v>327</v>
      </c>
    </row>
    <row r="532" spans="8:16">
      <c r="H532" s="116">
        <v>2024</v>
      </c>
      <c r="I532" s="116" t="s">
        <v>350</v>
      </c>
      <c r="J532" s="116" t="s">
        <v>331</v>
      </c>
      <c r="K532" s="118" t="s">
        <v>335</v>
      </c>
      <c r="L532" s="116">
        <v>2</v>
      </c>
      <c r="M532" s="119">
        <f t="shared" ca="1" si="52"/>
        <v>449.92712403676865</v>
      </c>
      <c r="N532" s="119">
        <v>0</v>
      </c>
      <c r="O532" s="119">
        <v>0</v>
      </c>
      <c r="P532" s="119" t="s">
        <v>327</v>
      </c>
    </row>
    <row r="533" spans="8:16">
      <c r="H533" s="116">
        <v>2024</v>
      </c>
      <c r="I533" s="116" t="s">
        <v>350</v>
      </c>
      <c r="J533" s="116" t="s">
        <v>331</v>
      </c>
      <c r="K533" s="118" t="s">
        <v>336</v>
      </c>
      <c r="L533" s="116">
        <v>2</v>
      </c>
      <c r="M533" s="119">
        <f t="shared" ca="1" si="52"/>
        <v>7816.4939404659754</v>
      </c>
      <c r="N533" s="119">
        <v>0</v>
      </c>
      <c r="O533" s="119">
        <v>0</v>
      </c>
      <c r="P533" s="119" t="s">
        <v>327</v>
      </c>
    </row>
    <row r="534" spans="8:16">
      <c r="H534" s="116">
        <v>2024</v>
      </c>
      <c r="I534" s="116" t="s">
        <v>350</v>
      </c>
      <c r="J534" s="116" t="s">
        <v>331</v>
      </c>
      <c r="K534" s="118" t="s">
        <v>337</v>
      </c>
      <c r="L534" s="116">
        <v>1</v>
      </c>
      <c r="M534" s="119">
        <f t="shared" ca="1" si="52"/>
        <v>100.60370493462148</v>
      </c>
      <c r="N534" s="119">
        <v>0</v>
      </c>
      <c r="O534" s="119">
        <v>0</v>
      </c>
      <c r="P534" s="119" t="s">
        <v>327</v>
      </c>
    </row>
    <row r="535" spans="8:16">
      <c r="H535" s="116">
        <v>2024</v>
      </c>
      <c r="I535" s="116" t="s">
        <v>350</v>
      </c>
      <c r="J535" s="116" t="s">
        <v>331</v>
      </c>
      <c r="K535" s="118" t="s">
        <v>338</v>
      </c>
      <c r="L535" s="116">
        <v>4</v>
      </c>
      <c r="M535" s="119">
        <f t="shared" ca="1" si="52"/>
        <v>719.8833984588299</v>
      </c>
      <c r="N535" s="119">
        <v>0</v>
      </c>
      <c r="O535" s="119">
        <v>0</v>
      </c>
      <c r="P535" s="119" t="s">
        <v>327</v>
      </c>
    </row>
    <row r="536" spans="8:16">
      <c r="H536" s="116">
        <v>2024</v>
      </c>
      <c r="I536" s="116" t="s">
        <v>350</v>
      </c>
      <c r="J536" s="116" t="s">
        <v>331</v>
      </c>
      <c r="K536" s="118" t="s">
        <v>341</v>
      </c>
      <c r="L536" s="116">
        <v>5</v>
      </c>
      <c r="M536" s="119">
        <f t="shared" ca="1" si="52"/>
        <v>107.98250976882447</v>
      </c>
      <c r="N536" s="119">
        <v>0</v>
      </c>
      <c r="O536" s="119">
        <v>0</v>
      </c>
      <c r="P536" s="119" t="s">
        <v>327</v>
      </c>
    </row>
    <row r="537" spans="8:16">
      <c r="H537" s="116">
        <v>2024</v>
      </c>
      <c r="I537" s="116" t="s">
        <v>350</v>
      </c>
      <c r="J537" s="116" t="s">
        <v>331</v>
      </c>
      <c r="K537" s="118" t="s">
        <v>342</v>
      </c>
      <c r="L537" s="116">
        <v>1</v>
      </c>
      <c r="M537" s="119">
        <f t="shared" ca="1" si="52"/>
        <v>3392.0905735380061</v>
      </c>
      <c r="N537" s="119">
        <v>0</v>
      </c>
      <c r="O537" s="119">
        <v>0</v>
      </c>
      <c r="P537" s="119" t="s">
        <v>327</v>
      </c>
    </row>
    <row r="538" spans="8:16">
      <c r="H538" s="116">
        <v>2024</v>
      </c>
      <c r="I538" s="116" t="s">
        <v>350</v>
      </c>
      <c r="J538" s="116" t="s">
        <v>343</v>
      </c>
      <c r="K538" s="118" t="s">
        <v>289</v>
      </c>
      <c r="L538" s="116">
        <v>2</v>
      </c>
      <c r="M538" s="119">
        <f t="shared" ca="1" si="52"/>
        <v>14100.356125613102</v>
      </c>
      <c r="N538" s="119">
        <v>0</v>
      </c>
      <c r="O538" s="119">
        <v>0</v>
      </c>
      <c r="P538" s="119" t="s">
        <v>327</v>
      </c>
    </row>
    <row r="539" spans="8:16">
      <c r="H539" s="116">
        <v>2024</v>
      </c>
      <c r="I539" s="116" t="s">
        <v>350</v>
      </c>
      <c r="J539" s="116" t="s">
        <v>344</v>
      </c>
      <c r="K539" s="118" t="s">
        <v>291</v>
      </c>
      <c r="L539" s="116">
        <v>2</v>
      </c>
      <c r="M539" s="119">
        <f t="shared" ca="1" si="52"/>
        <v>1378.4216490742872</v>
      </c>
      <c r="N539" s="119">
        <v>0</v>
      </c>
      <c r="O539" s="119">
        <v>0</v>
      </c>
      <c r="P539" s="119" t="s">
        <v>345</v>
      </c>
    </row>
    <row r="540" spans="8:16">
      <c r="H540" s="116">
        <v>2024</v>
      </c>
      <c r="I540" s="116" t="s">
        <v>350</v>
      </c>
      <c r="J540" s="116" t="s">
        <v>344</v>
      </c>
      <c r="K540" s="118" t="s">
        <v>292</v>
      </c>
      <c r="L540" s="116">
        <v>3</v>
      </c>
      <c r="M540" s="119">
        <f t="shared" ca="1" si="52"/>
        <v>309.94295380796348</v>
      </c>
      <c r="N540" s="119">
        <v>0</v>
      </c>
      <c r="O540" s="119">
        <v>0</v>
      </c>
      <c r="P540" s="119" t="s">
        <v>345</v>
      </c>
    </row>
    <row r="541" spans="8:16">
      <c r="H541" s="116">
        <v>2024</v>
      </c>
      <c r="I541" s="116" t="s">
        <v>350</v>
      </c>
      <c r="J541" s="116" t="s">
        <v>295</v>
      </c>
      <c r="K541" s="118" t="s">
        <v>295</v>
      </c>
      <c r="L541" s="116">
        <v>2</v>
      </c>
      <c r="M541" s="119">
        <f t="shared" ca="1" si="52"/>
        <v>7791.4812573711997</v>
      </c>
      <c r="N541" s="119">
        <v>0</v>
      </c>
      <c r="O541" s="119">
        <v>0</v>
      </c>
      <c r="P541" s="119" t="s">
        <v>327</v>
      </c>
    </row>
    <row r="542" spans="8:16">
      <c r="H542" s="116">
        <v>2024</v>
      </c>
      <c r="I542" s="116" t="s">
        <v>352</v>
      </c>
      <c r="J542" s="116" t="s">
        <v>30</v>
      </c>
      <c r="K542" s="118" t="s">
        <v>31</v>
      </c>
      <c r="L542" s="116">
        <v>255</v>
      </c>
      <c r="M542" s="119">
        <f t="shared" ref="M542:M559" ca="1" si="53">Y68</f>
        <v>0</v>
      </c>
      <c r="N542" s="119">
        <v>0</v>
      </c>
      <c r="O542" s="119">
        <v>0</v>
      </c>
      <c r="P542" s="119" t="s">
        <v>327</v>
      </c>
    </row>
    <row r="543" spans="8:16">
      <c r="H543" s="116">
        <v>2024</v>
      </c>
      <c r="I543" s="116" t="s">
        <v>352</v>
      </c>
      <c r="J543" s="116" t="s">
        <v>30</v>
      </c>
      <c r="K543" s="118" t="s">
        <v>328</v>
      </c>
      <c r="L543" s="116">
        <v>165</v>
      </c>
      <c r="M543" s="119">
        <f t="shared" ca="1" si="53"/>
        <v>9431.6366173754777</v>
      </c>
      <c r="N543" s="119">
        <v>0</v>
      </c>
      <c r="O543" s="119">
        <v>0</v>
      </c>
      <c r="P543" s="119" t="s">
        <v>327</v>
      </c>
    </row>
    <row r="544" spans="8:16">
      <c r="H544" s="116">
        <v>2024</v>
      </c>
      <c r="I544" s="116" t="s">
        <v>352</v>
      </c>
      <c r="J544" s="116" t="s">
        <v>30</v>
      </c>
      <c r="K544" s="118" t="s">
        <v>329</v>
      </c>
      <c r="L544" s="116">
        <v>75</v>
      </c>
      <c r="M544" s="119">
        <f t="shared" ca="1" si="53"/>
        <v>0</v>
      </c>
      <c r="N544" s="119">
        <v>0</v>
      </c>
      <c r="O544" s="119">
        <v>0</v>
      </c>
      <c r="P544" s="119" t="s">
        <v>327</v>
      </c>
    </row>
    <row r="545" spans="8:16">
      <c r="H545" s="116">
        <v>2024</v>
      </c>
      <c r="I545" s="116" t="s">
        <v>352</v>
      </c>
      <c r="J545" s="116" t="s">
        <v>30</v>
      </c>
      <c r="K545" s="118" t="s">
        <v>330</v>
      </c>
      <c r="L545" s="116">
        <v>15</v>
      </c>
      <c r="M545" s="119">
        <f t="shared" ca="1" si="53"/>
        <v>3564.3726716498154</v>
      </c>
      <c r="N545" s="119">
        <v>0</v>
      </c>
      <c r="O545" s="119">
        <v>0</v>
      </c>
      <c r="P545" s="119" t="s">
        <v>327</v>
      </c>
    </row>
    <row r="546" spans="8:16">
      <c r="H546" s="116">
        <v>2024</v>
      </c>
      <c r="I546" s="116" t="s">
        <v>352</v>
      </c>
      <c r="J546" s="116" t="s">
        <v>278</v>
      </c>
      <c r="K546" s="118" t="s">
        <v>278</v>
      </c>
      <c r="L546" s="116">
        <v>100</v>
      </c>
      <c r="M546" s="119">
        <f t="shared" ca="1" si="53"/>
        <v>480803.87556131871</v>
      </c>
      <c r="N546" s="119">
        <f ca="1">Y111</f>
        <v>433982.04361111921</v>
      </c>
      <c r="O546" s="119">
        <f ca="1">Y119</f>
        <v>64257.43937210217</v>
      </c>
      <c r="P546" s="119" t="s">
        <v>327</v>
      </c>
    </row>
    <row r="547" spans="8:16">
      <c r="H547" s="116">
        <v>2024</v>
      </c>
      <c r="I547" s="116" t="s">
        <v>352</v>
      </c>
      <c r="J547" s="116" t="s">
        <v>331</v>
      </c>
      <c r="K547" s="118" t="s">
        <v>332</v>
      </c>
      <c r="L547" s="116">
        <v>62.5</v>
      </c>
      <c r="M547" s="119">
        <f t="shared" ca="1" si="53"/>
        <v>7204.7224160507112</v>
      </c>
      <c r="N547" s="119">
        <v>0</v>
      </c>
      <c r="O547" s="119">
        <v>0</v>
      </c>
      <c r="P547" s="119" t="s">
        <v>327</v>
      </c>
    </row>
    <row r="548" spans="8:16">
      <c r="H548" s="116">
        <v>2024</v>
      </c>
      <c r="I548" s="116" t="s">
        <v>352</v>
      </c>
      <c r="J548" s="116" t="s">
        <v>331</v>
      </c>
      <c r="K548" s="118" t="s">
        <v>333</v>
      </c>
      <c r="L548" s="116">
        <v>1</v>
      </c>
      <c r="M548" s="119">
        <f t="shared" ca="1" si="53"/>
        <v>2837.3506823937892</v>
      </c>
      <c r="N548" s="119">
        <v>0</v>
      </c>
      <c r="O548" s="119">
        <v>0</v>
      </c>
      <c r="P548" s="119" t="s">
        <v>327</v>
      </c>
    </row>
    <row r="549" spans="8:16">
      <c r="H549" s="116">
        <v>2024</v>
      </c>
      <c r="I549" s="116" t="s">
        <v>352</v>
      </c>
      <c r="J549" s="116" t="s">
        <v>331</v>
      </c>
      <c r="K549" s="118" t="s">
        <v>334</v>
      </c>
      <c r="L549" s="116">
        <v>1</v>
      </c>
      <c r="M549" s="119">
        <f t="shared" ca="1" si="53"/>
        <v>916.96467113372682</v>
      </c>
      <c r="N549" s="119">
        <v>0</v>
      </c>
      <c r="O549" s="119">
        <v>0</v>
      </c>
      <c r="P549" s="119" t="s">
        <v>327</v>
      </c>
    </row>
    <row r="550" spans="8:16">
      <c r="H550" s="116">
        <v>2024</v>
      </c>
      <c r="I550" s="116" t="s">
        <v>352</v>
      </c>
      <c r="J550" s="116" t="s">
        <v>331</v>
      </c>
      <c r="K550" s="118" t="s">
        <v>335</v>
      </c>
      <c r="L550" s="116">
        <v>2</v>
      </c>
      <c r="M550" s="119">
        <f t="shared" ca="1" si="53"/>
        <v>654.97476509551916</v>
      </c>
      <c r="N550" s="119">
        <v>0</v>
      </c>
      <c r="O550" s="119">
        <v>0</v>
      </c>
      <c r="P550" s="119" t="s">
        <v>327</v>
      </c>
    </row>
    <row r="551" spans="8:16">
      <c r="H551" s="116">
        <v>2024</v>
      </c>
      <c r="I551" s="116" t="s">
        <v>352</v>
      </c>
      <c r="J551" s="116" t="s">
        <v>331</v>
      </c>
      <c r="K551" s="118" t="s">
        <v>336</v>
      </c>
      <c r="L551" s="116">
        <v>2</v>
      </c>
      <c r="M551" s="119">
        <f t="shared" ca="1" si="53"/>
        <v>11378.745599051437</v>
      </c>
      <c r="N551" s="119">
        <v>0</v>
      </c>
      <c r="O551" s="119">
        <v>0</v>
      </c>
      <c r="P551" s="119" t="s">
        <v>327</v>
      </c>
    </row>
    <row r="552" spans="8:16">
      <c r="H552" s="116">
        <v>2024</v>
      </c>
      <c r="I552" s="116" t="s">
        <v>352</v>
      </c>
      <c r="J552" s="116" t="s">
        <v>331</v>
      </c>
      <c r="K552" s="118" t="s">
        <v>337</v>
      </c>
      <c r="L552" s="116">
        <v>1</v>
      </c>
      <c r="M552" s="119">
        <f t="shared" ca="1" si="53"/>
        <v>146.4523574753581</v>
      </c>
      <c r="N552" s="119">
        <v>0</v>
      </c>
      <c r="O552" s="119">
        <v>0</v>
      </c>
      <c r="P552" s="119" t="s">
        <v>327</v>
      </c>
    </row>
    <row r="553" spans="8:16">
      <c r="H553" s="116">
        <v>2024</v>
      </c>
      <c r="I553" s="116" t="s">
        <v>352</v>
      </c>
      <c r="J553" s="116" t="s">
        <v>331</v>
      </c>
      <c r="K553" s="118" t="s">
        <v>338</v>
      </c>
      <c r="L553" s="116">
        <v>4</v>
      </c>
      <c r="M553" s="119">
        <f t="shared" ca="1" si="53"/>
        <v>1047.9596241528309</v>
      </c>
      <c r="N553" s="119">
        <v>0</v>
      </c>
      <c r="O553" s="119">
        <v>0</v>
      </c>
      <c r="P553" s="119" t="s">
        <v>327</v>
      </c>
    </row>
    <row r="554" spans="8:16">
      <c r="H554" s="116">
        <v>2024</v>
      </c>
      <c r="I554" s="116" t="s">
        <v>352</v>
      </c>
      <c r="J554" s="116" t="s">
        <v>331</v>
      </c>
      <c r="K554" s="118" t="s">
        <v>341</v>
      </c>
      <c r="L554" s="116">
        <v>5</v>
      </c>
      <c r="M554" s="119">
        <f t="shared" ca="1" si="53"/>
        <v>157.19394362292459</v>
      </c>
      <c r="N554" s="119">
        <v>0</v>
      </c>
      <c r="O554" s="119">
        <v>0</v>
      </c>
      <c r="P554" s="119" t="s">
        <v>327</v>
      </c>
    </row>
    <row r="555" spans="8:16">
      <c r="H555" s="116">
        <v>2024</v>
      </c>
      <c r="I555" s="116" t="s">
        <v>352</v>
      </c>
      <c r="J555" s="116" t="s">
        <v>331</v>
      </c>
      <c r="K555" s="118" t="s">
        <v>342</v>
      </c>
      <c r="L555" s="116">
        <v>1</v>
      </c>
      <c r="M555" s="119">
        <f t="shared" ca="1" si="53"/>
        <v>4937.9857490081376</v>
      </c>
      <c r="N555" s="119">
        <v>0</v>
      </c>
      <c r="O555" s="119">
        <v>0</v>
      </c>
      <c r="P555" s="119" t="s">
        <v>327</v>
      </c>
    </row>
    <row r="556" spans="8:16">
      <c r="H556" s="116">
        <v>2024</v>
      </c>
      <c r="I556" s="116" t="s">
        <v>352</v>
      </c>
      <c r="J556" s="116" t="s">
        <v>343</v>
      </c>
      <c r="K556" s="118" t="s">
        <v>289</v>
      </c>
      <c r="L556" s="116">
        <v>2</v>
      </c>
      <c r="M556" s="119">
        <f t="shared" ca="1" si="53"/>
        <v>20526.385158281497</v>
      </c>
      <c r="N556" s="119">
        <v>0</v>
      </c>
      <c r="O556" s="119">
        <v>0</v>
      </c>
      <c r="P556" s="119" t="s">
        <v>327</v>
      </c>
    </row>
    <row r="557" spans="8:16">
      <c r="H557" s="116">
        <v>2024</v>
      </c>
      <c r="I557" s="116" t="s">
        <v>352</v>
      </c>
      <c r="J557" s="116" t="s">
        <v>344</v>
      </c>
      <c r="K557" s="118" t="s">
        <v>291</v>
      </c>
      <c r="L557" s="116">
        <v>2</v>
      </c>
      <c r="M557" s="119">
        <f t="shared" ca="1" si="53"/>
        <v>2006.6169554410524</v>
      </c>
      <c r="N557" s="119">
        <v>0</v>
      </c>
      <c r="O557" s="119">
        <v>0</v>
      </c>
      <c r="P557" s="119" t="s">
        <v>345</v>
      </c>
    </row>
    <row r="558" spans="8:16">
      <c r="H558" s="116">
        <v>2024</v>
      </c>
      <c r="I558" s="116" t="s">
        <v>352</v>
      </c>
      <c r="J558" s="116" t="s">
        <v>344</v>
      </c>
      <c r="K558" s="118" t="s">
        <v>292</v>
      </c>
      <c r="L558" s="116">
        <v>3</v>
      </c>
      <c r="M558" s="119">
        <f t="shared" ca="1" si="53"/>
        <v>451.19487694365461</v>
      </c>
      <c r="N558" s="119">
        <v>0</v>
      </c>
      <c r="O558" s="119">
        <v>0</v>
      </c>
      <c r="P558" s="119" t="s">
        <v>345</v>
      </c>
    </row>
    <row r="559" spans="8:16">
      <c r="H559" s="116">
        <v>2024</v>
      </c>
      <c r="I559" s="116" t="s">
        <v>352</v>
      </c>
      <c r="J559" s="116" t="s">
        <v>295</v>
      </c>
      <c r="K559" s="118" t="s">
        <v>295</v>
      </c>
      <c r="L559" s="116">
        <v>2</v>
      </c>
      <c r="M559" s="119">
        <f t="shared" ca="1" si="53"/>
        <v>11342.33375509008</v>
      </c>
      <c r="N559" s="119">
        <v>0</v>
      </c>
      <c r="O559" s="119">
        <v>0</v>
      </c>
      <c r="P559" s="119" t="s">
        <v>327</v>
      </c>
    </row>
    <row r="560" spans="8:16">
      <c r="H560" s="116">
        <v>2024</v>
      </c>
      <c r="I560" s="116" t="s">
        <v>354</v>
      </c>
      <c r="J560" s="116" t="s">
        <v>30</v>
      </c>
      <c r="K560" s="118" t="s">
        <v>31</v>
      </c>
      <c r="L560" s="116">
        <v>255</v>
      </c>
      <c r="M560" s="119">
        <f t="shared" ref="M560:M577" ca="1" si="54">Z68</f>
        <v>0</v>
      </c>
      <c r="N560" s="119">
        <v>0</v>
      </c>
      <c r="O560" s="119">
        <v>0</v>
      </c>
      <c r="P560" s="119" t="s">
        <v>327</v>
      </c>
    </row>
    <row r="561" spans="8:16">
      <c r="H561" s="116">
        <v>2024</v>
      </c>
      <c r="I561" s="116" t="s">
        <v>354</v>
      </c>
      <c r="J561" s="116" t="s">
        <v>30</v>
      </c>
      <c r="K561" s="118" t="s">
        <v>328</v>
      </c>
      <c r="L561" s="116">
        <v>165</v>
      </c>
      <c r="M561" s="119">
        <f t="shared" ca="1" si="54"/>
        <v>2167.2076615834058</v>
      </c>
      <c r="N561" s="119">
        <v>0</v>
      </c>
      <c r="O561" s="119">
        <v>0</v>
      </c>
      <c r="P561" s="119" t="s">
        <v>327</v>
      </c>
    </row>
    <row r="562" spans="8:16">
      <c r="H562" s="116">
        <v>2024</v>
      </c>
      <c r="I562" s="116" t="s">
        <v>354</v>
      </c>
      <c r="J562" s="116" t="s">
        <v>30</v>
      </c>
      <c r="K562" s="118" t="s">
        <v>329</v>
      </c>
      <c r="L562" s="116">
        <v>75</v>
      </c>
      <c r="M562" s="119">
        <f t="shared" ca="1" si="54"/>
        <v>0</v>
      </c>
      <c r="N562" s="119">
        <v>0</v>
      </c>
      <c r="O562" s="119">
        <v>0</v>
      </c>
      <c r="P562" s="119" t="s">
        <v>327</v>
      </c>
    </row>
    <row r="563" spans="8:16">
      <c r="H563" s="116">
        <v>2024</v>
      </c>
      <c r="I563" s="116" t="s">
        <v>354</v>
      </c>
      <c r="J563" s="116" t="s">
        <v>30</v>
      </c>
      <c r="K563" s="118" t="s">
        <v>330</v>
      </c>
      <c r="L563" s="116">
        <v>15</v>
      </c>
      <c r="M563" s="119">
        <f t="shared" ca="1" si="54"/>
        <v>819.02389544006201</v>
      </c>
      <c r="N563" s="119">
        <v>0</v>
      </c>
      <c r="O563" s="119">
        <v>0</v>
      </c>
      <c r="P563" s="119" t="s">
        <v>327</v>
      </c>
    </row>
    <row r="564" spans="8:16">
      <c r="H564" s="116">
        <v>2024</v>
      </c>
      <c r="I564" s="116" t="s">
        <v>354</v>
      </c>
      <c r="J564" s="116" t="s">
        <v>278</v>
      </c>
      <c r="K564" s="118" t="s">
        <v>278</v>
      </c>
      <c r="L564" s="116">
        <v>100</v>
      </c>
      <c r="M564" s="119">
        <f t="shared" ca="1" si="54"/>
        <v>110479.43057049628</v>
      </c>
      <c r="N564" s="119">
        <f ca="1">Z111</f>
        <v>293728.10124871408</v>
      </c>
      <c r="O564" s="119">
        <f ca="1">Z119</f>
        <v>43490.775564863368</v>
      </c>
      <c r="P564" s="119" t="s">
        <v>327</v>
      </c>
    </row>
    <row r="565" spans="8:16">
      <c r="H565" s="116">
        <v>2024</v>
      </c>
      <c r="I565" s="116" t="s">
        <v>354</v>
      </c>
      <c r="J565" s="116" t="s">
        <v>331</v>
      </c>
      <c r="K565" s="118" t="s">
        <v>332</v>
      </c>
      <c r="L565" s="116">
        <v>62.5</v>
      </c>
      <c r="M565" s="119">
        <f t="shared" ca="1" si="54"/>
        <v>1655.5058525984348</v>
      </c>
      <c r="N565" s="119">
        <v>0</v>
      </c>
      <c r="O565" s="119">
        <v>0</v>
      </c>
      <c r="P565" s="119" t="s">
        <v>327</v>
      </c>
    </row>
    <row r="566" spans="8:16">
      <c r="H566" s="116">
        <v>2024</v>
      </c>
      <c r="I566" s="116" t="s">
        <v>354</v>
      </c>
      <c r="J566" s="116" t="s">
        <v>331</v>
      </c>
      <c r="K566" s="118" t="s">
        <v>333</v>
      </c>
      <c r="L566" s="116">
        <v>1</v>
      </c>
      <c r="M566" s="119">
        <f t="shared" ca="1" si="54"/>
        <v>651.9683048596745</v>
      </c>
      <c r="N566" s="119">
        <v>0</v>
      </c>
      <c r="O566" s="119">
        <v>0</v>
      </c>
      <c r="P566" s="119" t="s">
        <v>327</v>
      </c>
    </row>
    <row r="567" spans="8:16">
      <c r="H567" s="116">
        <v>2024</v>
      </c>
      <c r="I567" s="116" t="s">
        <v>354</v>
      </c>
      <c r="J567" s="116" t="s">
        <v>331</v>
      </c>
      <c r="K567" s="118" t="s">
        <v>334</v>
      </c>
      <c r="L567" s="116">
        <v>1</v>
      </c>
      <c r="M567" s="119">
        <f t="shared" ca="1" si="54"/>
        <v>210.70074487616441</v>
      </c>
      <c r="N567" s="119">
        <v>0</v>
      </c>
      <c r="O567" s="119">
        <v>0</v>
      </c>
      <c r="P567" s="119" t="s">
        <v>327</v>
      </c>
    </row>
    <row r="568" spans="8:16">
      <c r="H568" s="116">
        <v>2024</v>
      </c>
      <c r="I568" s="116" t="s">
        <v>354</v>
      </c>
      <c r="J568" s="116" t="s">
        <v>331</v>
      </c>
      <c r="K568" s="118" t="s">
        <v>335</v>
      </c>
      <c r="L568" s="116">
        <v>2</v>
      </c>
      <c r="M568" s="119">
        <f t="shared" ca="1" si="54"/>
        <v>150.50053205440315</v>
      </c>
      <c r="N568" s="119">
        <v>0</v>
      </c>
      <c r="O568" s="119">
        <v>0</v>
      </c>
      <c r="P568" s="119" t="s">
        <v>327</v>
      </c>
    </row>
    <row r="569" spans="8:16">
      <c r="H569" s="116">
        <v>2024</v>
      </c>
      <c r="I569" s="116" t="s">
        <v>354</v>
      </c>
      <c r="J569" s="116" t="s">
        <v>331</v>
      </c>
      <c r="K569" s="118" t="s">
        <v>336</v>
      </c>
      <c r="L569" s="116">
        <v>2</v>
      </c>
      <c r="M569" s="119">
        <f t="shared" ca="1" si="54"/>
        <v>2614.6156432747352</v>
      </c>
      <c r="N569" s="119">
        <v>0</v>
      </c>
      <c r="O569" s="119">
        <v>0</v>
      </c>
      <c r="P569" s="119" t="s">
        <v>327</v>
      </c>
    </row>
    <row r="570" spans="8:16">
      <c r="H570" s="116">
        <v>2024</v>
      </c>
      <c r="I570" s="116" t="s">
        <v>354</v>
      </c>
      <c r="J570" s="116" t="s">
        <v>331</v>
      </c>
      <c r="K570" s="118" t="s">
        <v>337</v>
      </c>
      <c r="L570" s="116">
        <v>1</v>
      </c>
      <c r="M570" s="119">
        <f t="shared" ca="1" si="54"/>
        <v>33.651918967364551</v>
      </c>
      <c r="N570" s="119">
        <v>0</v>
      </c>
      <c r="O570" s="119">
        <v>0</v>
      </c>
      <c r="P570" s="119" t="s">
        <v>327</v>
      </c>
    </row>
    <row r="571" spans="8:16">
      <c r="H571" s="116">
        <v>2024</v>
      </c>
      <c r="I571" s="116" t="s">
        <v>354</v>
      </c>
      <c r="J571" s="116" t="s">
        <v>331</v>
      </c>
      <c r="K571" s="118" t="s">
        <v>338</v>
      </c>
      <c r="L571" s="116">
        <v>4</v>
      </c>
      <c r="M571" s="119">
        <f t="shared" ca="1" si="54"/>
        <v>240.80085128704508</v>
      </c>
      <c r="N571" s="119">
        <v>0</v>
      </c>
      <c r="O571" s="119">
        <v>0</v>
      </c>
      <c r="P571" s="119" t="s">
        <v>327</v>
      </c>
    </row>
    <row r="572" spans="8:16">
      <c r="H572" s="116">
        <v>2024</v>
      </c>
      <c r="I572" s="116" t="s">
        <v>354</v>
      </c>
      <c r="J572" s="116" t="s">
        <v>331</v>
      </c>
      <c r="K572" s="118" t="s">
        <v>341</v>
      </c>
      <c r="L572" s="116">
        <v>5</v>
      </c>
      <c r="M572" s="119">
        <f t="shared" ca="1" si="54"/>
        <v>36.120127693056759</v>
      </c>
      <c r="N572" s="119">
        <v>0</v>
      </c>
      <c r="O572" s="119">
        <v>0</v>
      </c>
      <c r="P572" s="119" t="s">
        <v>327</v>
      </c>
    </row>
    <row r="573" spans="8:16">
      <c r="H573" s="116">
        <v>2024</v>
      </c>
      <c r="I573" s="116" t="s">
        <v>354</v>
      </c>
      <c r="J573" s="116" t="s">
        <v>331</v>
      </c>
      <c r="K573" s="118" t="s">
        <v>342</v>
      </c>
      <c r="L573" s="116">
        <v>1</v>
      </c>
      <c r="M573" s="119">
        <f t="shared" ca="1" si="54"/>
        <v>1134.6536112645563</v>
      </c>
      <c r="N573" s="119">
        <v>0</v>
      </c>
      <c r="O573" s="119">
        <v>0</v>
      </c>
      <c r="P573" s="119" t="s">
        <v>327</v>
      </c>
    </row>
    <row r="574" spans="8:16">
      <c r="H574" s="116">
        <v>2024</v>
      </c>
      <c r="I574" s="116" t="s">
        <v>354</v>
      </c>
      <c r="J574" s="116" t="s">
        <v>343</v>
      </c>
      <c r="K574" s="118" t="s">
        <v>289</v>
      </c>
      <c r="L574" s="116">
        <v>2</v>
      </c>
      <c r="M574" s="119">
        <f t="shared" ca="1" si="54"/>
        <v>4716.5662741593524</v>
      </c>
      <c r="N574" s="119">
        <v>0</v>
      </c>
      <c r="O574" s="119">
        <v>0</v>
      </c>
      <c r="P574" s="119" t="s">
        <v>327</v>
      </c>
    </row>
    <row r="575" spans="8:16">
      <c r="H575" s="116">
        <v>2024</v>
      </c>
      <c r="I575" s="116" t="s">
        <v>354</v>
      </c>
      <c r="J575" s="116" t="s">
        <v>344</v>
      </c>
      <c r="K575" s="118" t="s">
        <v>291</v>
      </c>
      <c r="L575" s="116">
        <v>2</v>
      </c>
      <c r="M575" s="119">
        <f t="shared" ca="1" si="54"/>
        <v>461.08176301910322</v>
      </c>
      <c r="N575" s="119">
        <v>0</v>
      </c>
      <c r="O575" s="119">
        <v>0</v>
      </c>
      <c r="P575" s="119" t="s">
        <v>345</v>
      </c>
    </row>
    <row r="576" spans="8:16">
      <c r="H576" s="116">
        <v>2024</v>
      </c>
      <c r="I576" s="116" t="s">
        <v>354</v>
      </c>
      <c r="J576" s="116" t="s">
        <v>344</v>
      </c>
      <c r="K576" s="118" t="s">
        <v>292</v>
      </c>
      <c r="L576" s="116">
        <v>3</v>
      </c>
      <c r="M576" s="119">
        <f t="shared" ca="1" si="54"/>
        <v>103.67585540541847</v>
      </c>
      <c r="N576" s="119">
        <v>0</v>
      </c>
      <c r="O576" s="119">
        <v>0</v>
      </c>
      <c r="P576" s="119" t="s">
        <v>345</v>
      </c>
    </row>
    <row r="577" spans="8:16">
      <c r="H577" s="116">
        <v>2024</v>
      </c>
      <c r="I577" s="116" t="s">
        <v>354</v>
      </c>
      <c r="J577" s="116" t="s">
        <v>295</v>
      </c>
      <c r="K577" s="118" t="s">
        <v>295</v>
      </c>
      <c r="L577" s="116">
        <v>2</v>
      </c>
      <c r="M577" s="119">
        <f t="shared" ca="1" si="54"/>
        <v>2606.2489058349092</v>
      </c>
      <c r="N577" s="119">
        <v>0</v>
      </c>
      <c r="O577" s="119">
        <v>0</v>
      </c>
      <c r="P577" s="119" t="s">
        <v>327</v>
      </c>
    </row>
    <row r="578" spans="8:16">
      <c r="H578" s="116">
        <v>2025</v>
      </c>
      <c r="I578" s="116" t="s">
        <v>326</v>
      </c>
      <c r="J578" s="116" t="s">
        <v>30</v>
      </c>
      <c r="K578" s="118" t="s">
        <v>31</v>
      </c>
      <c r="L578" s="116">
        <v>255</v>
      </c>
      <c r="M578" s="119">
        <f t="shared" ref="M578:M595" ca="1" si="55">S86</f>
        <v>0</v>
      </c>
      <c r="N578" s="119">
        <v>0</v>
      </c>
      <c r="O578" s="119">
        <v>0</v>
      </c>
      <c r="P578" s="119" t="s">
        <v>327</v>
      </c>
    </row>
    <row r="579" spans="8:16">
      <c r="H579" s="116">
        <v>2025</v>
      </c>
      <c r="I579" s="116" t="s">
        <v>326</v>
      </c>
      <c r="J579" s="116" t="s">
        <v>30</v>
      </c>
      <c r="K579" s="118" t="s">
        <v>328</v>
      </c>
      <c r="L579" s="116">
        <v>165</v>
      </c>
      <c r="M579" s="119">
        <f t="shared" ca="1" si="55"/>
        <v>7448.661374218078</v>
      </c>
      <c r="N579" s="119">
        <v>0</v>
      </c>
      <c r="O579" s="119">
        <v>0</v>
      </c>
      <c r="P579" s="119" t="s">
        <v>327</v>
      </c>
    </row>
    <row r="580" spans="8:16">
      <c r="H580" s="116">
        <v>2025</v>
      </c>
      <c r="I580" s="116" t="s">
        <v>326</v>
      </c>
      <c r="J580" s="116" t="s">
        <v>30</v>
      </c>
      <c r="K580" s="118" t="s">
        <v>329</v>
      </c>
      <c r="L580" s="116">
        <v>75</v>
      </c>
      <c r="M580" s="119">
        <f t="shared" ca="1" si="55"/>
        <v>0</v>
      </c>
      <c r="N580" s="119">
        <v>0</v>
      </c>
      <c r="O580" s="119">
        <v>0</v>
      </c>
      <c r="P580" s="119" t="s">
        <v>327</v>
      </c>
    </row>
    <row r="581" spans="8:16">
      <c r="H581" s="116">
        <v>2025</v>
      </c>
      <c r="I581" s="116" t="s">
        <v>326</v>
      </c>
      <c r="J581" s="116" t="s">
        <v>30</v>
      </c>
      <c r="K581" s="118" t="s">
        <v>330</v>
      </c>
      <c r="L581" s="116">
        <v>15</v>
      </c>
      <c r="M581" s="119">
        <f t="shared" ca="1" si="55"/>
        <v>2814.9732776732485</v>
      </c>
      <c r="N581" s="119">
        <v>0</v>
      </c>
      <c r="O581" s="119">
        <v>0</v>
      </c>
      <c r="P581" s="119" t="s">
        <v>327</v>
      </c>
    </row>
    <row r="582" spans="8:16">
      <c r="H582" s="116">
        <v>2025</v>
      </c>
      <c r="I582" s="116" t="s">
        <v>326</v>
      </c>
      <c r="J582" s="116" t="s">
        <v>278</v>
      </c>
      <c r="K582" s="118" t="s">
        <v>278</v>
      </c>
      <c r="L582" s="116">
        <v>50</v>
      </c>
      <c r="M582" s="119">
        <f t="shared" ca="1" si="55"/>
        <v>379716.20427680603</v>
      </c>
      <c r="N582" s="119">
        <f ca="1">S112</f>
        <v>813581.10594689613</v>
      </c>
      <c r="O582" s="119">
        <f ca="1">S120</f>
        <v>120608.21015081136</v>
      </c>
      <c r="P582" s="119" t="s">
        <v>327</v>
      </c>
    </row>
    <row r="583" spans="8:16">
      <c r="H583" s="116">
        <v>2025</v>
      </c>
      <c r="I583" s="116" t="s">
        <v>326</v>
      </c>
      <c r="J583" s="116" t="s">
        <v>331</v>
      </c>
      <c r="K583" s="118" t="s">
        <v>332</v>
      </c>
      <c r="L583" s="116">
        <v>62.5</v>
      </c>
      <c r="M583" s="119">
        <f t="shared" ca="1" si="55"/>
        <v>5689.9496608610316</v>
      </c>
      <c r="N583" s="119">
        <v>0</v>
      </c>
      <c r="O583" s="119">
        <v>0</v>
      </c>
      <c r="P583" s="119" t="s">
        <v>327</v>
      </c>
    </row>
    <row r="584" spans="8:16">
      <c r="H584" s="116">
        <v>2025</v>
      </c>
      <c r="I584" s="116" t="s">
        <v>326</v>
      </c>
      <c r="J584" s="116" t="s">
        <v>331</v>
      </c>
      <c r="K584" s="118" t="s">
        <v>333</v>
      </c>
      <c r="L584" s="116">
        <v>1</v>
      </c>
      <c r="M584" s="119">
        <f t="shared" ca="1" si="55"/>
        <v>2240.8056300772719</v>
      </c>
      <c r="N584" s="119">
        <v>0</v>
      </c>
      <c r="O584" s="119">
        <v>0</v>
      </c>
      <c r="P584" s="119" t="s">
        <v>327</v>
      </c>
    </row>
    <row r="585" spans="8:16">
      <c r="H585" s="116">
        <v>2025</v>
      </c>
      <c r="I585" s="116" t="s">
        <v>326</v>
      </c>
      <c r="J585" s="116" t="s">
        <v>331</v>
      </c>
      <c r="K585" s="118" t="s">
        <v>334</v>
      </c>
      <c r="L585" s="116">
        <v>1</v>
      </c>
      <c r="M585" s="119">
        <f t="shared" ca="1" si="55"/>
        <v>724.1754113823132</v>
      </c>
      <c r="N585" s="119">
        <v>0</v>
      </c>
      <c r="O585" s="119">
        <v>0</v>
      </c>
      <c r="P585" s="119" t="s">
        <v>327</v>
      </c>
    </row>
    <row r="586" spans="8:16">
      <c r="H586" s="116">
        <v>2025</v>
      </c>
      <c r="I586" s="116" t="s">
        <v>326</v>
      </c>
      <c r="J586" s="116" t="s">
        <v>331</v>
      </c>
      <c r="K586" s="118" t="s">
        <v>335</v>
      </c>
      <c r="L586" s="116">
        <v>2</v>
      </c>
      <c r="M586" s="119">
        <f t="shared" ca="1" si="55"/>
        <v>517.26815098736643</v>
      </c>
      <c r="N586" s="119">
        <v>0</v>
      </c>
      <c r="O586" s="119">
        <v>0</v>
      </c>
      <c r="P586" s="119" t="s">
        <v>327</v>
      </c>
    </row>
    <row r="587" spans="8:16">
      <c r="H587" s="116">
        <v>2025</v>
      </c>
      <c r="I587" s="116" t="s">
        <v>326</v>
      </c>
      <c r="J587" s="116" t="s">
        <v>331</v>
      </c>
      <c r="K587" s="118" t="s">
        <v>336</v>
      </c>
      <c r="L587" s="116">
        <v>2</v>
      </c>
      <c r="M587" s="119">
        <f t="shared" ca="1" si="55"/>
        <v>8986.3961334733212</v>
      </c>
      <c r="N587" s="119">
        <v>0</v>
      </c>
      <c r="O587" s="119">
        <v>0</v>
      </c>
      <c r="P587" s="119" t="s">
        <v>327</v>
      </c>
    </row>
    <row r="588" spans="8:16">
      <c r="H588" s="116">
        <v>2025</v>
      </c>
      <c r="I588" s="116" t="s">
        <v>326</v>
      </c>
      <c r="J588" s="116" t="s">
        <v>331</v>
      </c>
      <c r="K588" s="118" t="s">
        <v>337</v>
      </c>
      <c r="L588" s="116">
        <v>1</v>
      </c>
      <c r="M588" s="119">
        <f t="shared" ca="1" si="55"/>
        <v>115.66115856077515</v>
      </c>
      <c r="N588" s="119">
        <v>0</v>
      </c>
      <c r="O588" s="119">
        <v>0</v>
      </c>
      <c r="P588" s="119" t="s">
        <v>327</v>
      </c>
    </row>
    <row r="589" spans="8:16">
      <c r="H589" s="116">
        <v>2025</v>
      </c>
      <c r="I589" s="116" t="s">
        <v>326</v>
      </c>
      <c r="J589" s="116" t="s">
        <v>331</v>
      </c>
      <c r="K589" s="118" t="s">
        <v>338</v>
      </c>
      <c r="L589" s="116">
        <v>4</v>
      </c>
      <c r="M589" s="119">
        <f t="shared" ca="1" si="55"/>
        <v>827.62904157978653</v>
      </c>
      <c r="N589" s="119">
        <v>0</v>
      </c>
      <c r="O589" s="119">
        <v>0</v>
      </c>
      <c r="P589" s="119" t="s">
        <v>327</v>
      </c>
    </row>
    <row r="590" spans="8:16">
      <c r="H590" s="116">
        <v>2025</v>
      </c>
      <c r="I590" s="116" t="s">
        <v>326</v>
      </c>
      <c r="J590" s="116" t="s">
        <v>331</v>
      </c>
      <c r="K590" s="118" t="s">
        <v>341</v>
      </c>
      <c r="L590" s="116">
        <v>5</v>
      </c>
      <c r="M590" s="119">
        <f t="shared" ca="1" si="55"/>
        <v>124.14435623696797</v>
      </c>
      <c r="N590" s="119">
        <v>0</v>
      </c>
      <c r="O590" s="119">
        <v>0</v>
      </c>
      <c r="P590" s="119" t="s">
        <v>327</v>
      </c>
    </row>
    <row r="591" spans="8:16">
      <c r="H591" s="116">
        <v>2025</v>
      </c>
      <c r="I591" s="116" t="s">
        <v>326</v>
      </c>
      <c r="J591" s="116" t="s">
        <v>331</v>
      </c>
      <c r="K591" s="118" t="s">
        <v>342</v>
      </c>
      <c r="L591" s="116">
        <v>1</v>
      </c>
      <c r="M591" s="119">
        <f t="shared" ca="1" si="55"/>
        <v>3899.7880439239534</v>
      </c>
      <c r="N591" s="119">
        <v>0</v>
      </c>
      <c r="O591" s="119">
        <v>0</v>
      </c>
      <c r="P591" s="119" t="s">
        <v>327</v>
      </c>
    </row>
    <row r="592" spans="8:16">
      <c r="H592" s="116">
        <v>2025</v>
      </c>
      <c r="I592" s="116" t="s">
        <v>326</v>
      </c>
      <c r="J592" s="116" t="s">
        <v>343</v>
      </c>
      <c r="K592" s="118" t="s">
        <v>289</v>
      </c>
      <c r="L592" s="116">
        <v>2</v>
      </c>
      <c r="M592" s="119">
        <f t="shared" ca="1" si="55"/>
        <v>16210.770037423277</v>
      </c>
      <c r="N592" s="119">
        <v>0</v>
      </c>
      <c r="O592" s="119">
        <v>0</v>
      </c>
      <c r="P592" s="119" t="s">
        <v>327</v>
      </c>
    </row>
    <row r="593" spans="8:16">
      <c r="H593" s="116">
        <v>2025</v>
      </c>
      <c r="I593" s="116" t="s">
        <v>326</v>
      </c>
      <c r="J593" s="116" t="s">
        <v>344</v>
      </c>
      <c r="K593" s="118" t="s">
        <v>291</v>
      </c>
      <c r="L593" s="116">
        <v>2</v>
      </c>
      <c r="M593" s="119">
        <f t="shared" ca="1" si="55"/>
        <v>1509.2679503090978</v>
      </c>
      <c r="N593" s="119">
        <v>0</v>
      </c>
      <c r="O593" s="119">
        <v>0</v>
      </c>
      <c r="P593" s="119" t="s">
        <v>345</v>
      </c>
    </row>
    <row r="594" spans="8:16">
      <c r="H594" s="116">
        <v>2025</v>
      </c>
      <c r="I594" s="116" t="s">
        <v>326</v>
      </c>
      <c r="J594" s="116" t="s">
        <v>344</v>
      </c>
      <c r="K594" s="118" t="s">
        <v>292</v>
      </c>
      <c r="L594" s="116">
        <v>3</v>
      </c>
      <c r="M594" s="119">
        <f t="shared" ca="1" si="55"/>
        <v>339.36420464713848</v>
      </c>
      <c r="N594" s="119">
        <v>0</v>
      </c>
      <c r="O594" s="119">
        <v>0</v>
      </c>
      <c r="P594" s="119" t="s">
        <v>345</v>
      </c>
    </row>
    <row r="595" spans="8:16">
      <c r="H595" s="116">
        <v>2025</v>
      </c>
      <c r="I595" s="116" t="s">
        <v>326</v>
      </c>
      <c r="J595" s="116" t="s">
        <v>295</v>
      </c>
      <c r="K595" s="118" t="s">
        <v>295</v>
      </c>
      <c r="L595" s="116">
        <v>2</v>
      </c>
      <c r="M595" s="119">
        <f t="shared" ca="1" si="55"/>
        <v>8957.6397779560448</v>
      </c>
      <c r="N595" s="119">
        <v>0</v>
      </c>
      <c r="O595" s="119">
        <v>0</v>
      </c>
      <c r="P595" s="119" t="s">
        <v>327</v>
      </c>
    </row>
    <row r="596" spans="8:16">
      <c r="H596" s="116">
        <v>2025</v>
      </c>
      <c r="I596" s="116" t="s">
        <v>346</v>
      </c>
      <c r="J596" s="116" t="s">
        <v>30</v>
      </c>
      <c r="K596" s="118" t="s">
        <v>31</v>
      </c>
      <c r="L596" s="116">
        <v>255</v>
      </c>
      <c r="M596" s="119">
        <f t="shared" ref="M596:M613" ca="1" si="56">T86</f>
        <v>0</v>
      </c>
      <c r="N596" s="119">
        <v>0</v>
      </c>
      <c r="O596" s="119">
        <v>0</v>
      </c>
      <c r="P596" s="119" t="s">
        <v>327</v>
      </c>
    </row>
    <row r="597" spans="8:16">
      <c r="H597" s="116">
        <v>2025</v>
      </c>
      <c r="I597" s="116" t="s">
        <v>346</v>
      </c>
      <c r="J597" s="116" t="s">
        <v>30</v>
      </c>
      <c r="K597" s="118" t="s">
        <v>328</v>
      </c>
      <c r="L597" s="116">
        <v>165</v>
      </c>
      <c r="M597" s="119">
        <f t="shared" ca="1" si="56"/>
        <v>6881.5671748115883</v>
      </c>
      <c r="N597" s="119">
        <v>0</v>
      </c>
      <c r="O597" s="119">
        <v>0</v>
      </c>
      <c r="P597" s="119" t="s">
        <v>327</v>
      </c>
    </row>
    <row r="598" spans="8:16">
      <c r="H598" s="116">
        <v>2025</v>
      </c>
      <c r="I598" s="116" t="s">
        <v>346</v>
      </c>
      <c r="J598" s="116" t="s">
        <v>30</v>
      </c>
      <c r="K598" s="118" t="s">
        <v>329</v>
      </c>
      <c r="L598" s="116">
        <v>75</v>
      </c>
      <c r="M598" s="119">
        <f t="shared" ca="1" si="56"/>
        <v>0</v>
      </c>
      <c r="N598" s="119">
        <v>0</v>
      </c>
      <c r="O598" s="119">
        <v>0</v>
      </c>
      <c r="P598" s="119" t="s">
        <v>327</v>
      </c>
    </row>
    <row r="599" spans="8:16">
      <c r="H599" s="116">
        <v>2025</v>
      </c>
      <c r="I599" s="116" t="s">
        <v>346</v>
      </c>
      <c r="J599" s="116" t="s">
        <v>30</v>
      </c>
      <c r="K599" s="118" t="s">
        <v>330</v>
      </c>
      <c r="L599" s="116">
        <v>15</v>
      </c>
      <c r="M599" s="119">
        <f t="shared" ca="1" si="56"/>
        <v>2600.6589281475462</v>
      </c>
      <c r="N599" s="119">
        <v>0</v>
      </c>
      <c r="O599" s="119">
        <v>0</v>
      </c>
      <c r="P599" s="119" t="s">
        <v>327</v>
      </c>
    </row>
    <row r="600" spans="8:16">
      <c r="H600" s="116">
        <v>2025</v>
      </c>
      <c r="I600" s="116" t="s">
        <v>346</v>
      </c>
      <c r="J600" s="116" t="s">
        <v>278</v>
      </c>
      <c r="K600" s="118" t="s">
        <v>278</v>
      </c>
      <c r="L600" s="116">
        <v>50</v>
      </c>
      <c r="M600" s="119">
        <f t="shared" ca="1" si="56"/>
        <v>350807.00220039522</v>
      </c>
      <c r="N600" s="119">
        <f ca="1">T112</f>
        <v>532612.12386151601</v>
      </c>
      <c r="O600" s="119">
        <f ca="1">T120</f>
        <v>78956.350502751942</v>
      </c>
      <c r="P600" s="119" t="s">
        <v>327</v>
      </c>
    </row>
    <row r="601" spans="8:16">
      <c r="H601" s="116">
        <v>2025</v>
      </c>
      <c r="I601" s="116" t="s">
        <v>346</v>
      </c>
      <c r="J601" s="116" t="s">
        <v>331</v>
      </c>
      <c r="K601" s="118" t="s">
        <v>332</v>
      </c>
      <c r="L601" s="116">
        <v>62.5</v>
      </c>
      <c r="M601" s="119">
        <f t="shared" ca="1" si="56"/>
        <v>5256.7527029810744</v>
      </c>
      <c r="N601" s="119">
        <v>0</v>
      </c>
      <c r="O601" s="119">
        <v>0</v>
      </c>
      <c r="P601" s="119" t="s">
        <v>327</v>
      </c>
    </row>
    <row r="602" spans="8:16">
      <c r="H602" s="116">
        <v>2025</v>
      </c>
      <c r="I602" s="116" t="s">
        <v>346</v>
      </c>
      <c r="J602" s="116" t="s">
        <v>331</v>
      </c>
      <c r="K602" s="118" t="s">
        <v>333</v>
      </c>
      <c r="L602" s="116">
        <v>1</v>
      </c>
      <c r="M602" s="119">
        <f t="shared" ca="1" si="56"/>
        <v>2070.2047917558198</v>
      </c>
      <c r="N602" s="119">
        <v>0</v>
      </c>
      <c r="O602" s="119">
        <v>0</v>
      </c>
      <c r="P602" s="119" t="s">
        <v>327</v>
      </c>
    </row>
    <row r="603" spans="8:16">
      <c r="H603" s="116">
        <v>2025</v>
      </c>
      <c r="I603" s="116" t="s">
        <v>346</v>
      </c>
      <c r="J603" s="116" t="s">
        <v>331</v>
      </c>
      <c r="K603" s="118" t="s">
        <v>334</v>
      </c>
      <c r="L603" s="116">
        <v>1</v>
      </c>
      <c r="M603" s="119">
        <f t="shared" ca="1" si="56"/>
        <v>669.04125310668223</v>
      </c>
      <c r="N603" s="119">
        <v>0</v>
      </c>
      <c r="O603" s="119">
        <v>0</v>
      </c>
      <c r="P603" s="119" t="s">
        <v>327</v>
      </c>
    </row>
    <row r="604" spans="8:16">
      <c r="H604" s="116">
        <v>2025</v>
      </c>
      <c r="I604" s="116" t="s">
        <v>346</v>
      </c>
      <c r="J604" s="116" t="s">
        <v>331</v>
      </c>
      <c r="K604" s="118" t="s">
        <v>335</v>
      </c>
      <c r="L604" s="116">
        <v>2</v>
      </c>
      <c r="M604" s="119">
        <f t="shared" ca="1" si="56"/>
        <v>477.88660936191582</v>
      </c>
      <c r="N604" s="119">
        <v>0</v>
      </c>
      <c r="O604" s="119">
        <v>0</v>
      </c>
      <c r="P604" s="119" t="s">
        <v>327</v>
      </c>
    </row>
    <row r="605" spans="8:16">
      <c r="H605" s="116">
        <v>2025</v>
      </c>
      <c r="I605" s="116" t="s">
        <v>346</v>
      </c>
      <c r="J605" s="116" t="s">
        <v>331</v>
      </c>
      <c r="K605" s="118" t="s">
        <v>336</v>
      </c>
      <c r="L605" s="116">
        <v>2</v>
      </c>
      <c r="M605" s="119">
        <f t="shared" ca="1" si="56"/>
        <v>8302.228487122693</v>
      </c>
      <c r="N605" s="119">
        <v>0</v>
      </c>
      <c r="O605" s="119">
        <v>0</v>
      </c>
      <c r="P605" s="119" t="s">
        <v>327</v>
      </c>
    </row>
    <row r="606" spans="8:16">
      <c r="H606" s="116">
        <v>2025</v>
      </c>
      <c r="I606" s="116" t="s">
        <v>346</v>
      </c>
      <c r="J606" s="116" t="s">
        <v>331</v>
      </c>
      <c r="K606" s="118" t="s">
        <v>337</v>
      </c>
      <c r="L606" s="116">
        <v>1</v>
      </c>
      <c r="M606" s="119">
        <f t="shared" ca="1" si="56"/>
        <v>106.85544585332438</v>
      </c>
      <c r="N606" s="119">
        <v>0</v>
      </c>
      <c r="O606" s="119">
        <v>0</v>
      </c>
      <c r="P606" s="119" t="s">
        <v>327</v>
      </c>
    </row>
    <row r="607" spans="8:16">
      <c r="H607" s="116">
        <v>2025</v>
      </c>
      <c r="I607" s="116" t="s">
        <v>346</v>
      </c>
      <c r="J607" s="116" t="s">
        <v>331</v>
      </c>
      <c r="K607" s="118" t="s">
        <v>338</v>
      </c>
      <c r="L607" s="116">
        <v>4</v>
      </c>
      <c r="M607" s="119">
        <f t="shared" ca="1" si="56"/>
        <v>764.61857497906556</v>
      </c>
      <c r="N607" s="119">
        <v>0</v>
      </c>
      <c r="O607" s="119">
        <v>0</v>
      </c>
      <c r="P607" s="119" t="s">
        <v>327</v>
      </c>
    </row>
    <row r="608" spans="8:16">
      <c r="H608" s="116">
        <v>2025</v>
      </c>
      <c r="I608" s="116" t="s">
        <v>346</v>
      </c>
      <c r="J608" s="116" t="s">
        <v>331</v>
      </c>
      <c r="K608" s="118" t="s">
        <v>341</v>
      </c>
      <c r="L608" s="116">
        <v>5</v>
      </c>
      <c r="M608" s="119">
        <f t="shared" ca="1" si="56"/>
        <v>114.69278624685981</v>
      </c>
      <c r="N608" s="119">
        <v>0</v>
      </c>
      <c r="O608" s="119">
        <v>0</v>
      </c>
      <c r="P608" s="119" t="s">
        <v>327</v>
      </c>
    </row>
    <row r="609" spans="8:16">
      <c r="H609" s="116">
        <v>2025</v>
      </c>
      <c r="I609" s="116" t="s">
        <v>346</v>
      </c>
      <c r="J609" s="116" t="s">
        <v>331</v>
      </c>
      <c r="K609" s="118" t="s">
        <v>342</v>
      </c>
      <c r="L609" s="116">
        <v>1</v>
      </c>
      <c r="M609" s="119">
        <f t="shared" ca="1" si="56"/>
        <v>3602.882725301356</v>
      </c>
      <c r="N609" s="119">
        <v>0</v>
      </c>
      <c r="O609" s="119">
        <v>0</v>
      </c>
      <c r="P609" s="119" t="s">
        <v>327</v>
      </c>
    </row>
    <row r="610" spans="8:16">
      <c r="H610" s="116">
        <v>2025</v>
      </c>
      <c r="I610" s="116" t="s">
        <v>346</v>
      </c>
      <c r="J610" s="116" t="s">
        <v>343</v>
      </c>
      <c r="K610" s="118" t="s">
        <v>289</v>
      </c>
      <c r="L610" s="116">
        <v>2</v>
      </c>
      <c r="M610" s="119">
        <f t="shared" ca="1" si="56"/>
        <v>14976.584028114954</v>
      </c>
      <c r="N610" s="119">
        <v>0</v>
      </c>
      <c r="O610" s="119">
        <v>0</v>
      </c>
      <c r="P610" s="119" t="s">
        <v>327</v>
      </c>
    </row>
    <row r="611" spans="8:16">
      <c r="H611" s="116">
        <v>2025</v>
      </c>
      <c r="I611" s="116" t="s">
        <v>346</v>
      </c>
      <c r="J611" s="116" t="s">
        <v>344</v>
      </c>
      <c r="K611" s="118" t="s">
        <v>291</v>
      </c>
      <c r="L611" s="116">
        <v>2</v>
      </c>
      <c r="M611" s="119">
        <f t="shared" ca="1" si="56"/>
        <v>1394.3617870442577</v>
      </c>
      <c r="N611" s="119">
        <v>0</v>
      </c>
      <c r="O611" s="119">
        <v>0</v>
      </c>
      <c r="P611" s="119" t="s">
        <v>345</v>
      </c>
    </row>
    <row r="612" spans="8:16">
      <c r="H612" s="116">
        <v>2025</v>
      </c>
      <c r="I612" s="116" t="s">
        <v>346</v>
      </c>
      <c r="J612" s="116" t="s">
        <v>344</v>
      </c>
      <c r="K612" s="118" t="s">
        <v>292</v>
      </c>
      <c r="L612" s="116">
        <v>3</v>
      </c>
      <c r="M612" s="119">
        <f t="shared" ca="1" si="56"/>
        <v>313.52714987005891</v>
      </c>
      <c r="N612" s="119">
        <v>0</v>
      </c>
      <c r="O612" s="119">
        <v>0</v>
      </c>
      <c r="P612" s="119" t="s">
        <v>345</v>
      </c>
    </row>
    <row r="613" spans="8:16">
      <c r="H613" s="116">
        <v>2025</v>
      </c>
      <c r="I613" s="116" t="s">
        <v>346</v>
      </c>
      <c r="J613" s="116" t="s">
        <v>295</v>
      </c>
      <c r="K613" s="118" t="s">
        <v>295</v>
      </c>
      <c r="L613" s="116">
        <v>2</v>
      </c>
      <c r="M613" s="119">
        <f t="shared" ca="1" si="56"/>
        <v>8275.6614595383999</v>
      </c>
      <c r="N613" s="119">
        <v>0</v>
      </c>
      <c r="O613" s="119">
        <v>0</v>
      </c>
      <c r="P613" s="119" t="s">
        <v>327</v>
      </c>
    </row>
    <row r="614" spans="8:16">
      <c r="H614" s="116">
        <v>2025</v>
      </c>
      <c r="I614" s="116" t="s">
        <v>347</v>
      </c>
      <c r="J614" s="116" t="s">
        <v>30</v>
      </c>
      <c r="K614" s="118" t="s">
        <v>31</v>
      </c>
      <c r="L614" s="116">
        <v>255</v>
      </c>
      <c r="M614" s="119">
        <f t="shared" ref="M614:M631" ca="1" si="57">U86</f>
        <v>0</v>
      </c>
      <c r="N614" s="119">
        <v>0</v>
      </c>
      <c r="O614" s="119">
        <v>0</v>
      </c>
      <c r="P614" s="119" t="s">
        <v>327</v>
      </c>
    </row>
    <row r="615" spans="8:16">
      <c r="H615" s="116">
        <v>2025</v>
      </c>
      <c r="I615" s="116" t="s">
        <v>347</v>
      </c>
      <c r="J615" s="116" t="s">
        <v>30</v>
      </c>
      <c r="K615" s="118" t="s">
        <v>328</v>
      </c>
      <c r="L615" s="116">
        <v>165</v>
      </c>
      <c r="M615" s="119">
        <f t="shared" ca="1" si="57"/>
        <v>633.10812707064611</v>
      </c>
      <c r="N615" s="119">
        <v>0</v>
      </c>
      <c r="O615" s="119">
        <v>0</v>
      </c>
      <c r="P615" s="119" t="s">
        <v>327</v>
      </c>
    </row>
    <row r="616" spans="8:16">
      <c r="H616" s="116">
        <v>2025</v>
      </c>
      <c r="I616" s="116" t="s">
        <v>347</v>
      </c>
      <c r="J616" s="116" t="s">
        <v>30</v>
      </c>
      <c r="K616" s="118" t="s">
        <v>329</v>
      </c>
      <c r="L616" s="116">
        <v>75</v>
      </c>
      <c r="M616" s="119">
        <f t="shared" ca="1" si="57"/>
        <v>0</v>
      </c>
      <c r="N616" s="119">
        <v>0</v>
      </c>
      <c r="O616" s="119">
        <v>0</v>
      </c>
      <c r="P616" s="119" t="s">
        <v>327</v>
      </c>
    </row>
    <row r="617" spans="8:16">
      <c r="H617" s="116">
        <v>2025</v>
      </c>
      <c r="I617" s="116" t="s">
        <v>347</v>
      </c>
      <c r="J617" s="116" t="s">
        <v>30</v>
      </c>
      <c r="K617" s="118" t="s">
        <v>330</v>
      </c>
      <c r="L617" s="116">
        <v>15</v>
      </c>
      <c r="M617" s="119">
        <f t="shared" ca="1" si="57"/>
        <v>239.26211302211502</v>
      </c>
      <c r="N617" s="119">
        <v>0</v>
      </c>
      <c r="O617" s="119">
        <v>0</v>
      </c>
      <c r="P617" s="119" t="s">
        <v>327</v>
      </c>
    </row>
    <row r="618" spans="8:16">
      <c r="H618" s="116">
        <v>2025</v>
      </c>
      <c r="I618" s="116" t="s">
        <v>347</v>
      </c>
      <c r="J618" s="116" t="s">
        <v>278</v>
      </c>
      <c r="K618" s="118" t="s">
        <v>278</v>
      </c>
      <c r="L618" s="116">
        <v>50</v>
      </c>
      <c r="M618" s="119">
        <f t="shared" ca="1" si="57"/>
        <v>32274.445411112494</v>
      </c>
      <c r="N618" s="119">
        <f ca="1">U112</f>
        <v>139546.65352010058</v>
      </c>
      <c r="O618" s="119">
        <f ca="1">U120</f>
        <v>20686.901392586304</v>
      </c>
      <c r="P618" s="119" t="s">
        <v>327</v>
      </c>
    </row>
    <row r="619" spans="8:16">
      <c r="H619" s="116">
        <v>2025</v>
      </c>
      <c r="I619" s="116" t="s">
        <v>347</v>
      </c>
      <c r="J619" s="116" t="s">
        <v>331</v>
      </c>
      <c r="K619" s="118" t="s">
        <v>332</v>
      </c>
      <c r="L619" s="116">
        <v>62.5</v>
      </c>
      <c r="M619" s="119">
        <f t="shared" ca="1" si="57"/>
        <v>483.62426373452132</v>
      </c>
      <c r="N619" s="119">
        <v>0</v>
      </c>
      <c r="O619" s="119">
        <v>0</v>
      </c>
      <c r="P619" s="119" t="s">
        <v>327</v>
      </c>
    </row>
    <row r="620" spans="8:16">
      <c r="H620" s="116">
        <v>2025</v>
      </c>
      <c r="I620" s="116" t="s">
        <v>347</v>
      </c>
      <c r="J620" s="116" t="s">
        <v>331</v>
      </c>
      <c r="K620" s="118" t="s">
        <v>333</v>
      </c>
      <c r="L620" s="116">
        <v>1</v>
      </c>
      <c r="M620" s="119">
        <f t="shared" ca="1" si="57"/>
        <v>190.46002822708607</v>
      </c>
      <c r="N620" s="119">
        <v>0</v>
      </c>
      <c r="O620" s="119">
        <v>0</v>
      </c>
      <c r="P620" s="119" t="s">
        <v>327</v>
      </c>
    </row>
    <row r="621" spans="8:16">
      <c r="H621" s="116">
        <v>2025</v>
      </c>
      <c r="I621" s="116" t="s">
        <v>347</v>
      </c>
      <c r="J621" s="116" t="s">
        <v>331</v>
      </c>
      <c r="K621" s="118" t="s">
        <v>334</v>
      </c>
      <c r="L621" s="116">
        <v>1</v>
      </c>
      <c r="M621" s="119">
        <f t="shared" ca="1" si="57"/>
        <v>61.552179020757265</v>
      </c>
      <c r="N621" s="119">
        <v>0</v>
      </c>
      <c r="O621" s="119">
        <v>0</v>
      </c>
      <c r="P621" s="119" t="s">
        <v>327</v>
      </c>
    </row>
    <row r="622" spans="8:16">
      <c r="H622" s="116">
        <v>2025</v>
      </c>
      <c r="I622" s="116" t="s">
        <v>347</v>
      </c>
      <c r="J622" s="116" t="s">
        <v>331</v>
      </c>
      <c r="K622" s="118" t="s">
        <v>335</v>
      </c>
      <c r="L622" s="116">
        <v>2</v>
      </c>
      <c r="M622" s="119">
        <f t="shared" ca="1" si="57"/>
        <v>43.965842157683753</v>
      </c>
      <c r="N622" s="119">
        <v>0</v>
      </c>
      <c r="O622" s="119">
        <v>0</v>
      </c>
      <c r="P622" s="119" t="s">
        <v>327</v>
      </c>
    </row>
    <row r="623" spans="8:16">
      <c r="H623" s="116">
        <v>2025</v>
      </c>
      <c r="I623" s="116" t="s">
        <v>347</v>
      </c>
      <c r="J623" s="116" t="s">
        <v>331</v>
      </c>
      <c r="K623" s="118" t="s">
        <v>336</v>
      </c>
      <c r="L623" s="116">
        <v>2</v>
      </c>
      <c r="M623" s="119">
        <f t="shared" ca="1" si="57"/>
        <v>763.80978263700842</v>
      </c>
      <c r="N623" s="119">
        <v>0</v>
      </c>
      <c r="O623" s="119">
        <v>0</v>
      </c>
      <c r="P623" s="119" t="s">
        <v>327</v>
      </c>
    </row>
    <row r="624" spans="8:16">
      <c r="H624" s="116">
        <v>2025</v>
      </c>
      <c r="I624" s="116" t="s">
        <v>347</v>
      </c>
      <c r="J624" s="116" t="s">
        <v>331</v>
      </c>
      <c r="K624" s="118" t="s">
        <v>337</v>
      </c>
      <c r="L624" s="116">
        <v>1</v>
      </c>
      <c r="M624" s="119">
        <f t="shared" ca="1" si="57"/>
        <v>9.8307623064580874</v>
      </c>
      <c r="N624" s="119">
        <v>0</v>
      </c>
      <c r="O624" s="119">
        <v>0</v>
      </c>
      <c r="P624" s="119" t="s">
        <v>327</v>
      </c>
    </row>
    <row r="625" spans="8:16">
      <c r="H625" s="116">
        <v>2025</v>
      </c>
      <c r="I625" s="116" t="s">
        <v>347</v>
      </c>
      <c r="J625" s="116" t="s">
        <v>331</v>
      </c>
      <c r="K625" s="118" t="s">
        <v>338</v>
      </c>
      <c r="L625" s="116">
        <v>4</v>
      </c>
      <c r="M625" s="119">
        <f t="shared" ca="1" si="57"/>
        <v>70.345347452294021</v>
      </c>
      <c r="N625" s="119">
        <v>0</v>
      </c>
      <c r="O625" s="119">
        <v>0</v>
      </c>
      <c r="P625" s="119" t="s">
        <v>327</v>
      </c>
    </row>
    <row r="626" spans="8:16">
      <c r="H626" s="116">
        <v>2025</v>
      </c>
      <c r="I626" s="116" t="s">
        <v>347</v>
      </c>
      <c r="J626" s="116" t="s">
        <v>331</v>
      </c>
      <c r="K626" s="118" t="s">
        <v>341</v>
      </c>
      <c r="L626" s="116">
        <v>5</v>
      </c>
      <c r="M626" s="119">
        <f t="shared" ca="1" si="57"/>
        <v>10.551802117844103</v>
      </c>
      <c r="N626" s="119">
        <v>0</v>
      </c>
      <c r="O626" s="119">
        <v>0</v>
      </c>
      <c r="P626" s="119" t="s">
        <v>327</v>
      </c>
    </row>
    <row r="627" spans="8:16">
      <c r="H627" s="116">
        <v>2025</v>
      </c>
      <c r="I627" s="116" t="s">
        <v>347</v>
      </c>
      <c r="J627" s="116" t="s">
        <v>331</v>
      </c>
      <c r="K627" s="118" t="s">
        <v>342</v>
      </c>
      <c r="L627" s="116">
        <v>1</v>
      </c>
      <c r="M627" s="119">
        <f t="shared" ca="1" si="57"/>
        <v>331.46727719520936</v>
      </c>
      <c r="N627" s="119">
        <v>0</v>
      </c>
      <c r="O627" s="119">
        <v>0</v>
      </c>
      <c r="P627" s="119" t="s">
        <v>327</v>
      </c>
    </row>
    <row r="628" spans="8:16">
      <c r="H628" s="116">
        <v>2025</v>
      </c>
      <c r="I628" s="116" t="s">
        <v>347</v>
      </c>
      <c r="J628" s="116" t="s">
        <v>343</v>
      </c>
      <c r="K628" s="118" t="s">
        <v>289</v>
      </c>
      <c r="L628" s="116">
        <v>2</v>
      </c>
      <c r="M628" s="119">
        <f t="shared" ca="1" si="57"/>
        <v>1377.8543205480828</v>
      </c>
      <c r="N628" s="119">
        <v>0</v>
      </c>
      <c r="O628" s="119">
        <v>0</v>
      </c>
      <c r="P628" s="119" t="s">
        <v>327</v>
      </c>
    </row>
    <row r="629" spans="8:16">
      <c r="H629" s="116">
        <v>2025</v>
      </c>
      <c r="I629" s="116" t="s">
        <v>347</v>
      </c>
      <c r="J629" s="116" t="s">
        <v>344</v>
      </c>
      <c r="K629" s="118" t="s">
        <v>291</v>
      </c>
      <c r="L629" s="116">
        <v>2</v>
      </c>
      <c r="M629" s="119">
        <f t="shared" ca="1" si="57"/>
        <v>128.28208415747085</v>
      </c>
      <c r="N629" s="119">
        <v>0</v>
      </c>
      <c r="O629" s="119">
        <v>0</v>
      </c>
      <c r="P629" s="119" t="s">
        <v>345</v>
      </c>
    </row>
    <row r="630" spans="8:16">
      <c r="H630" s="116">
        <v>2025</v>
      </c>
      <c r="I630" s="116" t="s">
        <v>347</v>
      </c>
      <c r="J630" s="116" t="s">
        <v>344</v>
      </c>
      <c r="K630" s="118" t="s">
        <v>292</v>
      </c>
      <c r="L630" s="116">
        <v>3</v>
      </c>
      <c r="M630" s="119">
        <f t="shared" ca="1" si="57"/>
        <v>28.844677614509436</v>
      </c>
      <c r="N630" s="119">
        <v>0</v>
      </c>
      <c r="O630" s="119">
        <v>0</v>
      </c>
      <c r="P630" s="119" t="s">
        <v>345</v>
      </c>
    </row>
    <row r="631" spans="8:16">
      <c r="H631" s="116">
        <v>2025</v>
      </c>
      <c r="I631" s="116" t="s">
        <v>347</v>
      </c>
      <c r="J631" s="116" t="s">
        <v>295</v>
      </c>
      <c r="K631" s="118" t="s">
        <v>295</v>
      </c>
      <c r="L631" s="116">
        <v>2</v>
      </c>
      <c r="M631" s="119">
        <f t="shared" ca="1" si="57"/>
        <v>761.36560086148336</v>
      </c>
      <c r="N631" s="119">
        <v>0</v>
      </c>
      <c r="O631" s="119">
        <v>0</v>
      </c>
      <c r="P631" s="119" t="s">
        <v>327</v>
      </c>
    </row>
    <row r="632" spans="8:16">
      <c r="H632" s="116">
        <v>2025</v>
      </c>
      <c r="I632" s="116" t="s">
        <v>348</v>
      </c>
      <c r="J632" s="116" t="s">
        <v>30</v>
      </c>
      <c r="K632" s="118" t="s">
        <v>31</v>
      </c>
      <c r="L632" s="116">
        <v>255</v>
      </c>
      <c r="M632" s="119">
        <f t="shared" ref="M632:M649" ca="1" si="58">V86</f>
        <v>0</v>
      </c>
      <c r="N632" s="119">
        <v>0</v>
      </c>
      <c r="O632" s="119">
        <v>0</v>
      </c>
      <c r="P632" s="119" t="s">
        <v>327</v>
      </c>
    </row>
    <row r="633" spans="8:16">
      <c r="H633" s="116">
        <v>2025</v>
      </c>
      <c r="I633" s="116" t="s">
        <v>348</v>
      </c>
      <c r="J633" s="116" t="s">
        <v>30</v>
      </c>
      <c r="K633" s="118" t="s">
        <v>328</v>
      </c>
      <c r="L633" s="116">
        <v>165</v>
      </c>
      <c r="M633" s="119">
        <f t="shared" ca="1" si="58"/>
        <v>5844.2591658780839</v>
      </c>
      <c r="N633" s="119">
        <v>0</v>
      </c>
      <c r="O633" s="119">
        <v>0</v>
      </c>
      <c r="P633" s="119" t="s">
        <v>327</v>
      </c>
    </row>
    <row r="634" spans="8:16">
      <c r="H634" s="116">
        <v>2025</v>
      </c>
      <c r="I634" s="116" t="s">
        <v>348</v>
      </c>
      <c r="J634" s="116" t="s">
        <v>30</v>
      </c>
      <c r="K634" s="118" t="s">
        <v>329</v>
      </c>
      <c r="L634" s="116">
        <v>75</v>
      </c>
      <c r="M634" s="119">
        <f t="shared" ca="1" si="58"/>
        <v>0</v>
      </c>
      <c r="N634" s="119">
        <v>0</v>
      </c>
      <c r="O634" s="119">
        <v>0</v>
      </c>
      <c r="P634" s="119" t="s">
        <v>327</v>
      </c>
    </row>
    <row r="635" spans="8:16">
      <c r="H635" s="116">
        <v>2025</v>
      </c>
      <c r="I635" s="116" t="s">
        <v>348</v>
      </c>
      <c r="J635" s="116" t="s">
        <v>30</v>
      </c>
      <c r="K635" s="118" t="s">
        <v>330</v>
      </c>
      <c r="L635" s="116">
        <v>15</v>
      </c>
      <c r="M635" s="119">
        <f t="shared" ca="1" si="58"/>
        <v>2208.6429431047591</v>
      </c>
      <c r="N635" s="119">
        <v>0</v>
      </c>
      <c r="O635" s="119">
        <v>0</v>
      </c>
      <c r="P635" s="119" t="s">
        <v>327</v>
      </c>
    </row>
    <row r="636" spans="8:16">
      <c r="H636" s="116">
        <v>2025</v>
      </c>
      <c r="I636" s="116" t="s">
        <v>348</v>
      </c>
      <c r="J636" s="116" t="s">
        <v>278</v>
      </c>
      <c r="K636" s="118" t="s">
        <v>278</v>
      </c>
      <c r="L636" s="116">
        <v>50</v>
      </c>
      <c r="M636" s="119">
        <f t="shared" ca="1" si="58"/>
        <v>297927.34503387386</v>
      </c>
      <c r="N636" s="119">
        <f ca="1">V112</f>
        <v>159207.85865691968</v>
      </c>
      <c r="O636" s="119">
        <f ca="1">V120</f>
        <v>23601.549660136498</v>
      </c>
      <c r="P636" s="119" t="s">
        <v>327</v>
      </c>
    </row>
    <row r="637" spans="8:16">
      <c r="H637" s="116">
        <v>2025</v>
      </c>
      <c r="I637" s="116" t="s">
        <v>348</v>
      </c>
      <c r="J637" s="116" t="s">
        <v>331</v>
      </c>
      <c r="K637" s="118" t="s">
        <v>332</v>
      </c>
      <c r="L637" s="116">
        <v>62.5</v>
      </c>
      <c r="M637" s="119">
        <f t="shared" ca="1" si="58"/>
        <v>4464.364640601314</v>
      </c>
      <c r="N637" s="119">
        <v>0</v>
      </c>
      <c r="O637" s="119">
        <v>0</v>
      </c>
      <c r="P637" s="119" t="s">
        <v>327</v>
      </c>
    </row>
    <row r="638" spans="8:16">
      <c r="H638" s="116">
        <v>2025</v>
      </c>
      <c r="I638" s="116" t="s">
        <v>348</v>
      </c>
      <c r="J638" s="116" t="s">
        <v>331</v>
      </c>
      <c r="K638" s="118" t="s">
        <v>333</v>
      </c>
      <c r="L638" s="116">
        <v>1</v>
      </c>
      <c r="M638" s="119">
        <f t="shared" ca="1" si="58"/>
        <v>1758.1479657349903</v>
      </c>
      <c r="N638" s="119">
        <v>0</v>
      </c>
      <c r="O638" s="119">
        <v>0</v>
      </c>
      <c r="P638" s="119" t="s">
        <v>327</v>
      </c>
    </row>
    <row r="639" spans="8:16">
      <c r="H639" s="116">
        <v>2025</v>
      </c>
      <c r="I639" s="116" t="s">
        <v>348</v>
      </c>
      <c r="J639" s="116" t="s">
        <v>331</v>
      </c>
      <c r="K639" s="118" t="s">
        <v>334</v>
      </c>
      <c r="L639" s="116">
        <v>1</v>
      </c>
      <c r="M639" s="119">
        <f t="shared" ca="1" si="58"/>
        <v>568.19186334925814</v>
      </c>
      <c r="N639" s="119">
        <v>0</v>
      </c>
      <c r="O639" s="119">
        <v>0</v>
      </c>
      <c r="P639" s="119" t="s">
        <v>327</v>
      </c>
    </row>
    <row r="640" spans="8:16">
      <c r="H640" s="116">
        <v>2025</v>
      </c>
      <c r="I640" s="116" t="s">
        <v>348</v>
      </c>
      <c r="J640" s="116" t="s">
        <v>331</v>
      </c>
      <c r="K640" s="118" t="s">
        <v>335</v>
      </c>
      <c r="L640" s="116">
        <v>2</v>
      </c>
      <c r="M640" s="119">
        <f t="shared" ca="1" si="58"/>
        <v>405.8513309637558</v>
      </c>
      <c r="N640" s="119">
        <v>0</v>
      </c>
      <c r="O640" s="119">
        <v>0</v>
      </c>
      <c r="P640" s="119" t="s">
        <v>327</v>
      </c>
    </row>
    <row r="641" spans="8:16">
      <c r="H641" s="116">
        <v>2025</v>
      </c>
      <c r="I641" s="116" t="s">
        <v>348</v>
      </c>
      <c r="J641" s="116" t="s">
        <v>331</v>
      </c>
      <c r="K641" s="118" t="s">
        <v>336</v>
      </c>
      <c r="L641" s="116">
        <v>2</v>
      </c>
      <c r="M641" s="119">
        <f t="shared" ca="1" si="58"/>
        <v>7050.7740025671374</v>
      </c>
      <c r="N641" s="119">
        <v>0</v>
      </c>
      <c r="O641" s="119">
        <v>0</v>
      </c>
      <c r="P641" s="119" t="s">
        <v>327</v>
      </c>
    </row>
    <row r="642" spans="8:16">
      <c r="H642" s="116">
        <v>2025</v>
      </c>
      <c r="I642" s="116" t="s">
        <v>348</v>
      </c>
      <c r="J642" s="116" t="s">
        <v>331</v>
      </c>
      <c r="K642" s="118" t="s">
        <v>337</v>
      </c>
      <c r="L642" s="116">
        <v>1</v>
      </c>
      <c r="M642" s="119">
        <f t="shared" ca="1" si="58"/>
        <v>90.748357603495805</v>
      </c>
      <c r="N642" s="119">
        <v>0</v>
      </c>
      <c r="O642" s="119">
        <v>0</v>
      </c>
      <c r="P642" s="119" t="s">
        <v>327</v>
      </c>
    </row>
    <row r="643" spans="8:16">
      <c r="H643" s="116">
        <v>2025</v>
      </c>
      <c r="I643" s="116" t="s">
        <v>348</v>
      </c>
      <c r="J643" s="116" t="s">
        <v>331</v>
      </c>
      <c r="K643" s="118" t="s">
        <v>338</v>
      </c>
      <c r="L643" s="116">
        <v>4</v>
      </c>
      <c r="M643" s="119">
        <f t="shared" ca="1" si="58"/>
        <v>649.36212954200937</v>
      </c>
      <c r="N643" s="119">
        <v>0</v>
      </c>
      <c r="O643" s="119">
        <v>0</v>
      </c>
      <c r="P643" s="119" t="s">
        <v>327</v>
      </c>
    </row>
    <row r="644" spans="8:16">
      <c r="H644" s="116">
        <v>2025</v>
      </c>
      <c r="I644" s="116" t="s">
        <v>348</v>
      </c>
      <c r="J644" s="116" t="s">
        <v>331</v>
      </c>
      <c r="K644" s="118" t="s">
        <v>341</v>
      </c>
      <c r="L644" s="116">
        <v>5</v>
      </c>
      <c r="M644" s="119">
        <f t="shared" ca="1" si="58"/>
        <v>97.404319431301403</v>
      </c>
      <c r="N644" s="119">
        <v>0</v>
      </c>
      <c r="O644" s="119">
        <v>0</v>
      </c>
      <c r="P644" s="119" t="s">
        <v>327</v>
      </c>
    </row>
    <row r="645" spans="8:16">
      <c r="H645" s="116">
        <v>2025</v>
      </c>
      <c r="I645" s="116" t="s">
        <v>348</v>
      </c>
      <c r="J645" s="116" t="s">
        <v>331</v>
      </c>
      <c r="K645" s="118" t="s">
        <v>342</v>
      </c>
      <c r="L645" s="116">
        <v>1</v>
      </c>
      <c r="M645" s="119">
        <f t="shared" ca="1" si="58"/>
        <v>3059.7943544019477</v>
      </c>
      <c r="N645" s="119">
        <v>0</v>
      </c>
      <c r="O645" s="119">
        <v>0</v>
      </c>
      <c r="P645" s="119" t="s">
        <v>327</v>
      </c>
    </row>
    <row r="646" spans="8:16">
      <c r="H646" s="116">
        <v>2025</v>
      </c>
      <c r="I646" s="116" t="s">
        <v>348</v>
      </c>
      <c r="J646" s="116" t="s">
        <v>343</v>
      </c>
      <c r="K646" s="118" t="s">
        <v>289</v>
      </c>
      <c r="L646" s="116">
        <v>2</v>
      </c>
      <c r="M646" s="119">
        <f t="shared" ca="1" si="58"/>
        <v>12719.056031339336</v>
      </c>
      <c r="N646" s="119">
        <v>0</v>
      </c>
      <c r="O646" s="119">
        <v>0</v>
      </c>
      <c r="P646" s="119" t="s">
        <v>327</v>
      </c>
    </row>
    <row r="647" spans="8:16">
      <c r="H647" s="116">
        <v>2025</v>
      </c>
      <c r="I647" s="116" t="s">
        <v>348</v>
      </c>
      <c r="J647" s="116" t="s">
        <v>344</v>
      </c>
      <c r="K647" s="118" t="s">
        <v>291</v>
      </c>
      <c r="L647" s="116">
        <v>2</v>
      </c>
      <c r="M647" s="119">
        <f t="shared" ca="1" si="58"/>
        <v>1184.1796276160976</v>
      </c>
      <c r="N647" s="119">
        <v>0</v>
      </c>
      <c r="O647" s="119">
        <v>0</v>
      </c>
      <c r="P647" s="119" t="s">
        <v>345</v>
      </c>
    </row>
    <row r="648" spans="8:16">
      <c r="H648" s="116">
        <v>2025</v>
      </c>
      <c r="I648" s="116" t="s">
        <v>348</v>
      </c>
      <c r="J648" s="116" t="s">
        <v>344</v>
      </c>
      <c r="K648" s="118" t="s">
        <v>292</v>
      </c>
      <c r="L648" s="116">
        <v>3</v>
      </c>
      <c r="M648" s="119">
        <f t="shared" ca="1" si="58"/>
        <v>266.26695240098286</v>
      </c>
      <c r="N648" s="119">
        <v>0</v>
      </c>
      <c r="O648" s="119">
        <v>0</v>
      </c>
      <c r="P648" s="119" t="s">
        <v>345</v>
      </c>
    </row>
    <row r="649" spans="8:16">
      <c r="H649" s="116">
        <v>2025</v>
      </c>
      <c r="I649" s="116" t="s">
        <v>348</v>
      </c>
      <c r="J649" s="116" t="s">
        <v>295</v>
      </c>
      <c r="K649" s="118" t="s">
        <v>295</v>
      </c>
      <c r="L649" s="116">
        <v>2</v>
      </c>
      <c r="M649" s="119">
        <f t="shared" ca="1" si="58"/>
        <v>7028.211613720895</v>
      </c>
      <c r="N649" s="119">
        <v>0</v>
      </c>
      <c r="O649" s="119">
        <v>0</v>
      </c>
      <c r="P649" s="119" t="s">
        <v>327</v>
      </c>
    </row>
    <row r="650" spans="8:16">
      <c r="H650" s="116">
        <v>2025</v>
      </c>
      <c r="I650" s="116" t="s">
        <v>349</v>
      </c>
      <c r="J650" s="116" t="s">
        <v>30</v>
      </c>
      <c r="K650" s="118" t="s">
        <v>31</v>
      </c>
      <c r="L650" s="116">
        <v>255</v>
      </c>
      <c r="M650" s="119">
        <f t="shared" ref="M650:M667" ca="1" si="59">W86</f>
        <v>0</v>
      </c>
      <c r="N650" s="119">
        <v>0</v>
      </c>
      <c r="O650" s="119">
        <v>0</v>
      </c>
      <c r="P650" s="119" t="s">
        <v>327</v>
      </c>
    </row>
    <row r="651" spans="8:16">
      <c r="H651" s="116">
        <v>2025</v>
      </c>
      <c r="I651" s="116" t="s">
        <v>349</v>
      </c>
      <c r="J651" s="116" t="s">
        <v>30</v>
      </c>
      <c r="K651" s="118" t="s">
        <v>328</v>
      </c>
      <c r="L651" s="116">
        <v>165</v>
      </c>
      <c r="M651" s="119">
        <f t="shared" ca="1" si="59"/>
        <v>640.54114967882992</v>
      </c>
      <c r="N651" s="119">
        <v>0</v>
      </c>
      <c r="O651" s="119">
        <v>0</v>
      </c>
      <c r="P651" s="119" t="s">
        <v>327</v>
      </c>
    </row>
    <row r="652" spans="8:16">
      <c r="H652" s="116">
        <v>2025</v>
      </c>
      <c r="I652" s="116" t="s">
        <v>349</v>
      </c>
      <c r="J652" s="116" t="s">
        <v>30</v>
      </c>
      <c r="K652" s="118" t="s">
        <v>329</v>
      </c>
      <c r="L652" s="116">
        <v>75</v>
      </c>
      <c r="M652" s="119">
        <f t="shared" ca="1" si="59"/>
        <v>0</v>
      </c>
      <c r="N652" s="119">
        <v>0</v>
      </c>
      <c r="O652" s="119">
        <v>0</v>
      </c>
      <c r="P652" s="119" t="s">
        <v>327</v>
      </c>
    </row>
    <row r="653" spans="8:16">
      <c r="H653" s="116">
        <v>2025</v>
      </c>
      <c r="I653" s="116" t="s">
        <v>349</v>
      </c>
      <c r="J653" s="116" t="s">
        <v>30</v>
      </c>
      <c r="K653" s="118" t="s">
        <v>330</v>
      </c>
      <c r="L653" s="116">
        <v>15</v>
      </c>
      <c r="M653" s="119">
        <f t="shared" ca="1" si="59"/>
        <v>242.07117614945781</v>
      </c>
      <c r="N653" s="119">
        <v>0</v>
      </c>
      <c r="O653" s="119">
        <v>0</v>
      </c>
      <c r="P653" s="119" t="s">
        <v>327</v>
      </c>
    </row>
    <row r="654" spans="8:16">
      <c r="H654" s="116">
        <v>2025</v>
      </c>
      <c r="I654" s="116" t="s">
        <v>349</v>
      </c>
      <c r="J654" s="116" t="s">
        <v>278</v>
      </c>
      <c r="K654" s="118" t="s">
        <v>278</v>
      </c>
      <c r="L654" s="116">
        <v>50</v>
      </c>
      <c r="M654" s="119">
        <f t="shared" ca="1" si="59"/>
        <v>32653.364385849687</v>
      </c>
      <c r="N654" s="119">
        <f ca="1">W112</f>
        <v>345285.09716378635</v>
      </c>
      <c r="O654" s="119">
        <f ca="1">W120</f>
        <v>51186.313517206305</v>
      </c>
      <c r="P654" s="119" t="s">
        <v>327</v>
      </c>
    </row>
    <row r="655" spans="8:16">
      <c r="H655" s="116">
        <v>2025</v>
      </c>
      <c r="I655" s="116" t="s">
        <v>349</v>
      </c>
      <c r="J655" s="116" t="s">
        <v>331</v>
      </c>
      <c r="K655" s="118" t="s">
        <v>332</v>
      </c>
      <c r="L655" s="116">
        <v>62.5</v>
      </c>
      <c r="M655" s="119">
        <f t="shared" ca="1" si="59"/>
        <v>489.30226711577291</v>
      </c>
      <c r="N655" s="119">
        <v>0</v>
      </c>
      <c r="O655" s="119">
        <v>0</v>
      </c>
      <c r="P655" s="119" t="s">
        <v>327</v>
      </c>
    </row>
    <row r="656" spans="8:16">
      <c r="H656" s="116">
        <v>2025</v>
      </c>
      <c r="I656" s="116" t="s">
        <v>349</v>
      </c>
      <c r="J656" s="116" t="s">
        <v>331</v>
      </c>
      <c r="K656" s="118" t="s">
        <v>333</v>
      </c>
      <c r="L656" s="116">
        <v>1</v>
      </c>
      <c r="M656" s="119">
        <f t="shared" ca="1" si="59"/>
        <v>192.69612919504803</v>
      </c>
      <c r="N656" s="119">
        <v>0</v>
      </c>
      <c r="O656" s="119">
        <v>0</v>
      </c>
      <c r="P656" s="119" t="s">
        <v>327</v>
      </c>
    </row>
    <row r="657" spans="8:16">
      <c r="H657" s="116">
        <v>2025</v>
      </c>
      <c r="I657" s="116" t="s">
        <v>349</v>
      </c>
      <c r="J657" s="116" t="s">
        <v>331</v>
      </c>
      <c r="K657" s="118" t="s">
        <v>334</v>
      </c>
      <c r="L657" s="116">
        <v>1</v>
      </c>
      <c r="M657" s="119">
        <f t="shared" ca="1" si="59"/>
        <v>62.274833996552914</v>
      </c>
      <c r="N657" s="119">
        <v>0</v>
      </c>
      <c r="O657" s="119">
        <v>0</v>
      </c>
      <c r="P657" s="119" t="s">
        <v>327</v>
      </c>
    </row>
    <row r="658" spans="8:16">
      <c r="H658" s="116">
        <v>2025</v>
      </c>
      <c r="I658" s="116" t="s">
        <v>349</v>
      </c>
      <c r="J658" s="116" t="s">
        <v>331</v>
      </c>
      <c r="K658" s="118" t="s">
        <v>335</v>
      </c>
      <c r="L658" s="116">
        <v>2</v>
      </c>
      <c r="M658" s="119">
        <f t="shared" ca="1" si="59"/>
        <v>44.482024283252073</v>
      </c>
      <c r="N658" s="119">
        <v>0</v>
      </c>
      <c r="O658" s="119">
        <v>0</v>
      </c>
      <c r="P658" s="119" t="s">
        <v>327</v>
      </c>
    </row>
    <row r="659" spans="8:16">
      <c r="H659" s="116">
        <v>2025</v>
      </c>
      <c r="I659" s="116" t="s">
        <v>349</v>
      </c>
      <c r="J659" s="116" t="s">
        <v>331</v>
      </c>
      <c r="K659" s="118" t="s">
        <v>336</v>
      </c>
      <c r="L659" s="116">
        <v>2</v>
      </c>
      <c r="M659" s="119">
        <f t="shared" ca="1" si="59"/>
        <v>772.77731146808173</v>
      </c>
      <c r="N659" s="119">
        <v>0</v>
      </c>
      <c r="O659" s="119">
        <v>0</v>
      </c>
      <c r="P659" s="119" t="s">
        <v>327</v>
      </c>
    </row>
    <row r="660" spans="8:16">
      <c r="H660" s="116">
        <v>2025</v>
      </c>
      <c r="I660" s="116" t="s">
        <v>349</v>
      </c>
      <c r="J660" s="116" t="s">
        <v>331</v>
      </c>
      <c r="K660" s="118" t="s">
        <v>337</v>
      </c>
      <c r="L660" s="116">
        <v>1</v>
      </c>
      <c r="M660" s="119">
        <f t="shared" ca="1" si="59"/>
        <v>9.9461806297351654</v>
      </c>
      <c r="N660" s="119">
        <v>0</v>
      </c>
      <c r="O660" s="119">
        <v>0</v>
      </c>
      <c r="P660" s="119" t="s">
        <v>327</v>
      </c>
    </row>
    <row r="661" spans="8:16">
      <c r="H661" s="116">
        <v>2025</v>
      </c>
      <c r="I661" s="116" t="s">
        <v>349</v>
      </c>
      <c r="J661" s="116" t="s">
        <v>331</v>
      </c>
      <c r="K661" s="118" t="s">
        <v>338</v>
      </c>
      <c r="L661" s="116">
        <v>4</v>
      </c>
      <c r="M661" s="119">
        <f t="shared" ca="1" si="59"/>
        <v>71.171238853203349</v>
      </c>
      <c r="N661" s="119">
        <v>0</v>
      </c>
      <c r="O661" s="119">
        <v>0</v>
      </c>
      <c r="P661" s="119" t="s">
        <v>327</v>
      </c>
    </row>
    <row r="662" spans="8:16">
      <c r="H662" s="116">
        <v>2025</v>
      </c>
      <c r="I662" s="116" t="s">
        <v>349</v>
      </c>
      <c r="J662" s="116" t="s">
        <v>331</v>
      </c>
      <c r="K662" s="118" t="s">
        <v>341</v>
      </c>
      <c r="L662" s="116">
        <v>5</v>
      </c>
      <c r="M662" s="119">
        <f t="shared" ca="1" si="59"/>
        <v>10.6756858279805</v>
      </c>
      <c r="N662" s="119">
        <v>0</v>
      </c>
      <c r="O662" s="119">
        <v>0</v>
      </c>
      <c r="P662" s="119" t="s">
        <v>327</v>
      </c>
    </row>
    <row r="663" spans="8:16">
      <c r="H663" s="116">
        <v>2025</v>
      </c>
      <c r="I663" s="116" t="s">
        <v>349</v>
      </c>
      <c r="J663" s="116" t="s">
        <v>331</v>
      </c>
      <c r="K663" s="118" t="s">
        <v>342</v>
      </c>
      <c r="L663" s="116">
        <v>1</v>
      </c>
      <c r="M663" s="119">
        <f t="shared" ca="1" si="59"/>
        <v>335.35887747629408</v>
      </c>
      <c r="N663" s="119">
        <v>0</v>
      </c>
      <c r="O663" s="119">
        <v>0</v>
      </c>
      <c r="P663" s="119" t="s">
        <v>327</v>
      </c>
    </row>
    <row r="664" spans="8:16">
      <c r="H664" s="116">
        <v>2025</v>
      </c>
      <c r="I664" s="116" t="s">
        <v>349</v>
      </c>
      <c r="J664" s="116" t="s">
        <v>343</v>
      </c>
      <c r="K664" s="118" t="s">
        <v>289</v>
      </c>
      <c r="L664" s="116">
        <v>2</v>
      </c>
      <c r="M664" s="119">
        <f t="shared" ca="1" si="59"/>
        <v>1394.0310554176938</v>
      </c>
      <c r="N664" s="119">
        <v>0</v>
      </c>
      <c r="O664" s="119">
        <v>0</v>
      </c>
      <c r="P664" s="119" t="s">
        <v>327</v>
      </c>
    </row>
    <row r="665" spans="8:16">
      <c r="H665" s="116">
        <v>2025</v>
      </c>
      <c r="I665" s="116" t="s">
        <v>349</v>
      </c>
      <c r="J665" s="116" t="s">
        <v>344</v>
      </c>
      <c r="K665" s="118" t="s">
        <v>291</v>
      </c>
      <c r="L665" s="116">
        <v>2</v>
      </c>
      <c r="M665" s="119">
        <f t="shared" ca="1" si="59"/>
        <v>129.78818333863177</v>
      </c>
      <c r="N665" s="119">
        <v>0</v>
      </c>
      <c r="O665" s="119">
        <v>0</v>
      </c>
      <c r="P665" s="119" t="s">
        <v>345</v>
      </c>
    </row>
    <row r="666" spans="8:16">
      <c r="H666" s="116">
        <v>2025</v>
      </c>
      <c r="I666" s="116" t="s">
        <v>349</v>
      </c>
      <c r="J666" s="116" t="s">
        <v>344</v>
      </c>
      <c r="K666" s="118" t="s">
        <v>292</v>
      </c>
      <c r="L666" s="116">
        <v>3</v>
      </c>
      <c r="M666" s="119">
        <f t="shared" ca="1" si="59"/>
        <v>29.183329310273404</v>
      </c>
      <c r="N666" s="119">
        <v>0</v>
      </c>
      <c r="O666" s="119">
        <v>0</v>
      </c>
      <c r="P666" s="119" t="s">
        <v>345</v>
      </c>
    </row>
    <row r="667" spans="8:16">
      <c r="H667" s="116">
        <v>2025</v>
      </c>
      <c r="I667" s="116" t="s">
        <v>349</v>
      </c>
      <c r="J667" s="116" t="s">
        <v>295</v>
      </c>
      <c r="K667" s="118" t="s">
        <v>295</v>
      </c>
      <c r="L667" s="116">
        <v>2</v>
      </c>
      <c r="M667" s="119">
        <f t="shared" ca="1" si="59"/>
        <v>770.30443371217177</v>
      </c>
      <c r="N667" s="119">
        <v>0</v>
      </c>
      <c r="O667" s="119">
        <v>0</v>
      </c>
      <c r="P667" s="119" t="s">
        <v>327</v>
      </c>
    </row>
    <row r="668" spans="8:16">
      <c r="H668" s="116">
        <v>2025</v>
      </c>
      <c r="I668" s="116" t="s">
        <v>350</v>
      </c>
      <c r="J668" s="116" t="s">
        <v>30</v>
      </c>
      <c r="K668" s="118" t="s">
        <v>31</v>
      </c>
      <c r="L668" s="116">
        <v>255</v>
      </c>
      <c r="M668" s="119">
        <f t="shared" ref="M668:M685" ca="1" si="60">X86</f>
        <v>0</v>
      </c>
      <c r="N668" s="119">
        <v>0</v>
      </c>
      <c r="O668" s="119">
        <v>0</v>
      </c>
      <c r="P668" s="119" t="s">
        <v>327</v>
      </c>
    </row>
    <row r="669" spans="8:16">
      <c r="H669" s="116">
        <v>2025</v>
      </c>
      <c r="I669" s="116" t="s">
        <v>350</v>
      </c>
      <c r="J669" s="116" t="s">
        <v>30</v>
      </c>
      <c r="K669" s="118" t="s">
        <v>328</v>
      </c>
      <c r="L669" s="116">
        <v>165</v>
      </c>
      <c r="M669" s="119">
        <f t="shared" ca="1" si="60"/>
        <v>6802.8981154359426</v>
      </c>
      <c r="N669" s="119">
        <v>0</v>
      </c>
      <c r="O669" s="119">
        <v>0</v>
      </c>
      <c r="P669" s="119" t="s">
        <v>327</v>
      </c>
    </row>
    <row r="670" spans="8:16">
      <c r="H670" s="116">
        <v>2025</v>
      </c>
      <c r="I670" s="116" t="s">
        <v>350</v>
      </c>
      <c r="J670" s="116" t="s">
        <v>30</v>
      </c>
      <c r="K670" s="118" t="s">
        <v>329</v>
      </c>
      <c r="L670" s="116">
        <v>75</v>
      </c>
      <c r="M670" s="119">
        <f t="shared" ca="1" si="60"/>
        <v>0</v>
      </c>
      <c r="N670" s="119">
        <v>0</v>
      </c>
      <c r="O670" s="119">
        <v>0</v>
      </c>
      <c r="P670" s="119" t="s">
        <v>327</v>
      </c>
    </row>
    <row r="671" spans="8:16">
      <c r="H671" s="116">
        <v>2025</v>
      </c>
      <c r="I671" s="116" t="s">
        <v>350</v>
      </c>
      <c r="J671" s="116" t="s">
        <v>30</v>
      </c>
      <c r="K671" s="118" t="s">
        <v>330</v>
      </c>
      <c r="L671" s="116">
        <v>15</v>
      </c>
      <c r="M671" s="119">
        <f t="shared" ca="1" si="60"/>
        <v>2570.9285794584998</v>
      </c>
      <c r="N671" s="119">
        <v>0</v>
      </c>
      <c r="O671" s="119">
        <v>0</v>
      </c>
      <c r="P671" s="119" t="s">
        <v>327</v>
      </c>
    </row>
    <row r="672" spans="8:16">
      <c r="H672" s="116">
        <v>2025</v>
      </c>
      <c r="I672" s="116" t="s">
        <v>350</v>
      </c>
      <c r="J672" s="116" t="s">
        <v>278</v>
      </c>
      <c r="K672" s="118" t="s">
        <v>278</v>
      </c>
      <c r="L672" s="116">
        <v>50</v>
      </c>
      <c r="M672" s="119">
        <f t="shared" ca="1" si="60"/>
        <v>346796.62837355671</v>
      </c>
      <c r="N672" s="119">
        <f ca="1">X112</f>
        <v>50342.785060456765</v>
      </c>
      <c r="O672" s="119">
        <f ca="1">X120</f>
        <v>7462.9968122010569</v>
      </c>
      <c r="P672" s="119" t="s">
        <v>327</v>
      </c>
    </row>
    <row r="673" spans="8:16">
      <c r="H673" s="116">
        <v>2025</v>
      </c>
      <c r="I673" s="116" t="s">
        <v>350</v>
      </c>
      <c r="J673" s="116" t="s">
        <v>331</v>
      </c>
      <c r="K673" s="118" t="s">
        <v>332</v>
      </c>
      <c r="L673" s="116">
        <v>62.5</v>
      </c>
      <c r="M673" s="119">
        <f t="shared" ca="1" si="60"/>
        <v>5196.6582826246777</v>
      </c>
      <c r="N673" s="119">
        <v>0</v>
      </c>
      <c r="O673" s="119">
        <v>0</v>
      </c>
      <c r="P673" s="119" t="s">
        <v>327</v>
      </c>
    </row>
    <row r="674" spans="8:16">
      <c r="H674" s="116">
        <v>2025</v>
      </c>
      <c r="I674" s="116" t="s">
        <v>350</v>
      </c>
      <c r="J674" s="116" t="s">
        <v>331</v>
      </c>
      <c r="K674" s="118" t="s">
        <v>333</v>
      </c>
      <c r="L674" s="116">
        <v>1</v>
      </c>
      <c r="M674" s="119">
        <f t="shared" ca="1" si="60"/>
        <v>2046.5385163936462</v>
      </c>
      <c r="N674" s="119">
        <v>0</v>
      </c>
      <c r="O674" s="119">
        <v>0</v>
      </c>
      <c r="P674" s="119" t="s">
        <v>327</v>
      </c>
    </row>
    <row r="675" spans="8:16">
      <c r="H675" s="116">
        <v>2025</v>
      </c>
      <c r="I675" s="116" t="s">
        <v>350</v>
      </c>
      <c r="J675" s="116" t="s">
        <v>331</v>
      </c>
      <c r="K675" s="118" t="s">
        <v>334</v>
      </c>
      <c r="L675" s="116">
        <v>1</v>
      </c>
      <c r="M675" s="119">
        <f t="shared" ca="1" si="60"/>
        <v>661.39287233404991</v>
      </c>
      <c r="N675" s="119">
        <v>0</v>
      </c>
      <c r="O675" s="119">
        <v>0</v>
      </c>
      <c r="P675" s="119" t="s">
        <v>327</v>
      </c>
    </row>
    <row r="676" spans="8:16">
      <c r="H676" s="116">
        <v>2025</v>
      </c>
      <c r="I676" s="116" t="s">
        <v>350</v>
      </c>
      <c r="J676" s="116" t="s">
        <v>331</v>
      </c>
      <c r="K676" s="118" t="s">
        <v>335</v>
      </c>
      <c r="L676" s="116">
        <v>2</v>
      </c>
      <c r="M676" s="119">
        <f t="shared" ca="1" si="60"/>
        <v>472.42348023860706</v>
      </c>
      <c r="N676" s="119">
        <v>0</v>
      </c>
      <c r="O676" s="119">
        <v>0</v>
      </c>
      <c r="P676" s="119" t="s">
        <v>327</v>
      </c>
    </row>
    <row r="677" spans="8:16">
      <c r="H677" s="116">
        <v>2025</v>
      </c>
      <c r="I677" s="116" t="s">
        <v>350</v>
      </c>
      <c r="J677" s="116" t="s">
        <v>331</v>
      </c>
      <c r="K677" s="118" t="s">
        <v>336</v>
      </c>
      <c r="L677" s="116">
        <v>2</v>
      </c>
      <c r="M677" s="119">
        <f t="shared" ca="1" si="60"/>
        <v>8207.3186374892739</v>
      </c>
      <c r="N677" s="119">
        <v>0</v>
      </c>
      <c r="O677" s="119">
        <v>0</v>
      </c>
      <c r="P677" s="119" t="s">
        <v>327</v>
      </c>
    </row>
    <row r="678" spans="8:16">
      <c r="H678" s="116">
        <v>2025</v>
      </c>
      <c r="I678" s="116" t="s">
        <v>350</v>
      </c>
      <c r="J678" s="116" t="s">
        <v>331</v>
      </c>
      <c r="K678" s="118" t="s">
        <v>337</v>
      </c>
      <c r="L678" s="116">
        <v>1</v>
      </c>
      <c r="M678" s="119">
        <f t="shared" ca="1" si="60"/>
        <v>105.63389018135254</v>
      </c>
      <c r="N678" s="119">
        <v>0</v>
      </c>
      <c r="O678" s="119">
        <v>0</v>
      </c>
      <c r="P678" s="119" t="s">
        <v>327</v>
      </c>
    </row>
    <row r="679" spans="8:16">
      <c r="H679" s="116">
        <v>2025</v>
      </c>
      <c r="I679" s="116" t="s">
        <v>350</v>
      </c>
      <c r="J679" s="116" t="s">
        <v>331</v>
      </c>
      <c r="K679" s="118" t="s">
        <v>338</v>
      </c>
      <c r="L679" s="116">
        <v>4</v>
      </c>
      <c r="M679" s="119">
        <f t="shared" ca="1" si="60"/>
        <v>755.87756838177154</v>
      </c>
      <c r="N679" s="119">
        <v>0</v>
      </c>
      <c r="O679" s="119">
        <v>0</v>
      </c>
      <c r="P679" s="119" t="s">
        <v>327</v>
      </c>
    </row>
    <row r="680" spans="8:16">
      <c r="H680" s="116">
        <v>2025</v>
      </c>
      <c r="I680" s="116" t="s">
        <v>350</v>
      </c>
      <c r="J680" s="116" t="s">
        <v>331</v>
      </c>
      <c r="K680" s="118" t="s">
        <v>341</v>
      </c>
      <c r="L680" s="116">
        <v>5</v>
      </c>
      <c r="M680" s="119">
        <f t="shared" ca="1" si="60"/>
        <v>113.3816352572657</v>
      </c>
      <c r="N680" s="119">
        <v>0</v>
      </c>
      <c r="O680" s="119">
        <v>0</v>
      </c>
      <c r="P680" s="119" t="s">
        <v>327</v>
      </c>
    </row>
    <row r="681" spans="8:16">
      <c r="H681" s="116">
        <v>2025</v>
      </c>
      <c r="I681" s="116" t="s">
        <v>350</v>
      </c>
      <c r="J681" s="116" t="s">
        <v>331</v>
      </c>
      <c r="K681" s="118" t="s">
        <v>342</v>
      </c>
      <c r="L681" s="116">
        <v>1</v>
      </c>
      <c r="M681" s="119">
        <f t="shared" ca="1" si="60"/>
        <v>3561.6951022149065</v>
      </c>
      <c r="N681" s="119">
        <v>0</v>
      </c>
      <c r="O681" s="119">
        <v>0</v>
      </c>
      <c r="P681" s="119" t="s">
        <v>327</v>
      </c>
    </row>
    <row r="682" spans="8:16">
      <c r="H682" s="116">
        <v>2025</v>
      </c>
      <c r="I682" s="116" t="s">
        <v>350</v>
      </c>
      <c r="J682" s="116" t="s">
        <v>343</v>
      </c>
      <c r="K682" s="118" t="s">
        <v>289</v>
      </c>
      <c r="L682" s="116">
        <v>2</v>
      </c>
      <c r="M682" s="119">
        <f t="shared" ca="1" si="60"/>
        <v>14805.373931893757</v>
      </c>
      <c r="N682" s="119">
        <v>0</v>
      </c>
      <c r="O682" s="119">
        <v>0</v>
      </c>
      <c r="P682" s="119" t="s">
        <v>327</v>
      </c>
    </row>
    <row r="683" spans="8:16">
      <c r="H683" s="116">
        <v>2025</v>
      </c>
      <c r="I683" s="116" t="s">
        <v>350</v>
      </c>
      <c r="J683" s="116" t="s">
        <v>344</v>
      </c>
      <c r="K683" s="118" t="s">
        <v>291</v>
      </c>
      <c r="L683" s="116">
        <v>2</v>
      </c>
      <c r="M683" s="119">
        <f t="shared" ca="1" si="60"/>
        <v>1378.4216490742872</v>
      </c>
      <c r="N683" s="119">
        <v>0</v>
      </c>
      <c r="O683" s="119">
        <v>0</v>
      </c>
      <c r="P683" s="119" t="s">
        <v>345</v>
      </c>
    </row>
    <row r="684" spans="8:16">
      <c r="H684" s="116">
        <v>2025</v>
      </c>
      <c r="I684" s="116" t="s">
        <v>350</v>
      </c>
      <c r="J684" s="116" t="s">
        <v>344</v>
      </c>
      <c r="K684" s="118" t="s">
        <v>292</v>
      </c>
      <c r="L684" s="116">
        <v>3</v>
      </c>
      <c r="M684" s="119">
        <f t="shared" ca="1" si="60"/>
        <v>309.94295380796348</v>
      </c>
      <c r="N684" s="119">
        <v>0</v>
      </c>
      <c r="O684" s="119">
        <v>0</v>
      </c>
      <c r="P684" s="119" t="s">
        <v>345</v>
      </c>
    </row>
    <row r="685" spans="8:16">
      <c r="H685" s="116">
        <v>2025</v>
      </c>
      <c r="I685" s="116" t="s">
        <v>350</v>
      </c>
      <c r="J685" s="116" t="s">
        <v>295</v>
      </c>
      <c r="K685" s="118" t="s">
        <v>295</v>
      </c>
      <c r="L685" s="116">
        <v>2</v>
      </c>
      <c r="M685" s="119">
        <f t="shared" ca="1" si="60"/>
        <v>8181.0553202397596</v>
      </c>
      <c r="N685" s="119">
        <v>0</v>
      </c>
      <c r="O685" s="119">
        <v>0</v>
      </c>
      <c r="P685" s="119" t="s">
        <v>327</v>
      </c>
    </row>
    <row r="686" spans="8:16">
      <c r="H686" s="116">
        <v>2025</v>
      </c>
      <c r="I686" s="116" t="s">
        <v>352</v>
      </c>
      <c r="J686" s="116" t="s">
        <v>30</v>
      </c>
      <c r="K686" s="118" t="s">
        <v>31</v>
      </c>
      <c r="L686" s="116">
        <v>255</v>
      </c>
      <c r="M686" s="119">
        <f t="shared" ref="M686:M703" ca="1" si="61">Y86</f>
        <v>0</v>
      </c>
      <c r="N686" s="119">
        <v>0</v>
      </c>
      <c r="O686" s="119">
        <v>0</v>
      </c>
      <c r="P686" s="119" t="s">
        <v>327</v>
      </c>
    </row>
    <row r="687" spans="8:16">
      <c r="H687" s="116">
        <v>2025</v>
      </c>
      <c r="I687" s="116" t="s">
        <v>352</v>
      </c>
      <c r="J687" s="116" t="s">
        <v>30</v>
      </c>
      <c r="K687" s="118" t="s">
        <v>328</v>
      </c>
      <c r="L687" s="116">
        <v>165</v>
      </c>
      <c r="M687" s="119">
        <f t="shared" ca="1" si="61"/>
        <v>9903.2184482442499</v>
      </c>
      <c r="N687" s="119">
        <v>0</v>
      </c>
      <c r="O687" s="119">
        <v>0</v>
      </c>
      <c r="P687" s="119" t="s">
        <v>327</v>
      </c>
    </row>
    <row r="688" spans="8:16">
      <c r="H688" s="116">
        <v>2025</v>
      </c>
      <c r="I688" s="116" t="s">
        <v>352</v>
      </c>
      <c r="J688" s="116" t="s">
        <v>30</v>
      </c>
      <c r="K688" s="118" t="s">
        <v>329</v>
      </c>
      <c r="L688" s="116">
        <v>75</v>
      </c>
      <c r="M688" s="119">
        <f t="shared" ca="1" si="61"/>
        <v>0</v>
      </c>
      <c r="N688" s="119">
        <v>0</v>
      </c>
      <c r="O688" s="119">
        <v>0</v>
      </c>
      <c r="P688" s="119" t="s">
        <v>327</v>
      </c>
    </row>
    <row r="689" spans="8:16">
      <c r="H689" s="116">
        <v>2025</v>
      </c>
      <c r="I689" s="116" t="s">
        <v>352</v>
      </c>
      <c r="J689" s="116" t="s">
        <v>30</v>
      </c>
      <c r="K689" s="118" t="s">
        <v>330</v>
      </c>
      <c r="L689" s="116">
        <v>15</v>
      </c>
      <c r="M689" s="119">
        <f t="shared" ca="1" si="61"/>
        <v>3742.5913052323062</v>
      </c>
      <c r="N689" s="119">
        <v>0</v>
      </c>
      <c r="O689" s="119">
        <v>0</v>
      </c>
      <c r="P689" s="119" t="s">
        <v>327</v>
      </c>
    </row>
    <row r="690" spans="8:16">
      <c r="H690" s="116">
        <v>2025</v>
      </c>
      <c r="I690" s="116" t="s">
        <v>352</v>
      </c>
      <c r="J690" s="116" t="s">
        <v>278</v>
      </c>
      <c r="K690" s="118" t="s">
        <v>278</v>
      </c>
      <c r="L690" s="116">
        <v>100</v>
      </c>
      <c r="M690" s="119">
        <f t="shared" ca="1" si="61"/>
        <v>504844.06933938467</v>
      </c>
      <c r="N690" s="119">
        <f ca="1">Y112</f>
        <v>455681.1457916752</v>
      </c>
      <c r="O690" s="119">
        <f ca="1">Y120</f>
        <v>67551.82364939549</v>
      </c>
      <c r="P690" s="119" t="s">
        <v>327</v>
      </c>
    </row>
    <row r="691" spans="8:16">
      <c r="H691" s="116">
        <v>2025</v>
      </c>
      <c r="I691" s="116" t="s">
        <v>352</v>
      </c>
      <c r="J691" s="116" t="s">
        <v>331</v>
      </c>
      <c r="K691" s="118" t="s">
        <v>332</v>
      </c>
      <c r="L691" s="116">
        <v>62.5</v>
      </c>
      <c r="M691" s="119">
        <f t="shared" ca="1" si="61"/>
        <v>7564.9585368532471</v>
      </c>
      <c r="N691" s="119">
        <v>0</v>
      </c>
      <c r="O691" s="119">
        <v>0</v>
      </c>
      <c r="P691" s="119" t="s">
        <v>327</v>
      </c>
    </row>
    <row r="692" spans="8:16">
      <c r="H692" s="116">
        <v>2025</v>
      </c>
      <c r="I692" s="116" t="s">
        <v>352</v>
      </c>
      <c r="J692" s="116" t="s">
        <v>331</v>
      </c>
      <c r="K692" s="118" t="s">
        <v>333</v>
      </c>
      <c r="L692" s="116">
        <v>1</v>
      </c>
      <c r="M692" s="119">
        <f t="shared" ca="1" si="61"/>
        <v>2979.2182165134791</v>
      </c>
      <c r="N692" s="119">
        <v>0</v>
      </c>
      <c r="O692" s="119">
        <v>0</v>
      </c>
      <c r="P692" s="119" t="s">
        <v>327</v>
      </c>
    </row>
    <row r="693" spans="8:16">
      <c r="H693" s="116">
        <v>2025</v>
      </c>
      <c r="I693" s="116" t="s">
        <v>352</v>
      </c>
      <c r="J693" s="116" t="s">
        <v>331</v>
      </c>
      <c r="K693" s="118" t="s">
        <v>334</v>
      </c>
      <c r="L693" s="116">
        <v>1</v>
      </c>
      <c r="M693" s="119">
        <f t="shared" ca="1" si="61"/>
        <v>962.81290469041323</v>
      </c>
      <c r="N693" s="119">
        <v>0</v>
      </c>
      <c r="O693" s="119">
        <v>0</v>
      </c>
      <c r="P693" s="119" t="s">
        <v>327</v>
      </c>
    </row>
    <row r="694" spans="8:16">
      <c r="H694" s="116">
        <v>2025</v>
      </c>
      <c r="I694" s="116" t="s">
        <v>352</v>
      </c>
      <c r="J694" s="116" t="s">
        <v>331</v>
      </c>
      <c r="K694" s="118" t="s">
        <v>335</v>
      </c>
      <c r="L694" s="116">
        <v>2</v>
      </c>
      <c r="M694" s="119">
        <f t="shared" ca="1" si="61"/>
        <v>687.72350335029512</v>
      </c>
      <c r="N694" s="119">
        <v>0</v>
      </c>
      <c r="O694" s="119">
        <v>0</v>
      </c>
      <c r="P694" s="119" t="s">
        <v>327</v>
      </c>
    </row>
    <row r="695" spans="8:16">
      <c r="H695" s="116">
        <v>2025</v>
      </c>
      <c r="I695" s="116" t="s">
        <v>352</v>
      </c>
      <c r="J695" s="116" t="s">
        <v>331</v>
      </c>
      <c r="K695" s="118" t="s">
        <v>336</v>
      </c>
      <c r="L695" s="116">
        <v>2</v>
      </c>
      <c r="M695" s="119">
        <f t="shared" ca="1" si="61"/>
        <v>11947.682879004009</v>
      </c>
      <c r="N695" s="119">
        <v>0</v>
      </c>
      <c r="O695" s="119">
        <v>0</v>
      </c>
      <c r="P695" s="119" t="s">
        <v>327</v>
      </c>
    </row>
    <row r="696" spans="8:16">
      <c r="H696" s="116">
        <v>2025</v>
      </c>
      <c r="I696" s="116" t="s">
        <v>352</v>
      </c>
      <c r="J696" s="116" t="s">
        <v>331</v>
      </c>
      <c r="K696" s="118" t="s">
        <v>337</v>
      </c>
      <c r="L696" s="116">
        <v>1</v>
      </c>
      <c r="M696" s="119">
        <f t="shared" ca="1" si="61"/>
        <v>153.77497534912601</v>
      </c>
      <c r="N696" s="119">
        <v>0</v>
      </c>
      <c r="O696" s="119">
        <v>0</v>
      </c>
      <c r="P696" s="119" t="s">
        <v>327</v>
      </c>
    </row>
    <row r="697" spans="8:16">
      <c r="H697" s="116">
        <v>2025</v>
      </c>
      <c r="I697" s="116" t="s">
        <v>352</v>
      </c>
      <c r="J697" s="116" t="s">
        <v>331</v>
      </c>
      <c r="K697" s="118" t="s">
        <v>338</v>
      </c>
      <c r="L697" s="116">
        <v>4</v>
      </c>
      <c r="M697" s="119">
        <f t="shared" ca="1" si="61"/>
        <v>1100.3576053604725</v>
      </c>
      <c r="N697" s="119">
        <v>0</v>
      </c>
      <c r="O697" s="119">
        <v>0</v>
      </c>
      <c r="P697" s="119" t="s">
        <v>327</v>
      </c>
    </row>
    <row r="698" spans="8:16">
      <c r="H698" s="116">
        <v>2025</v>
      </c>
      <c r="I698" s="116" t="s">
        <v>352</v>
      </c>
      <c r="J698" s="116" t="s">
        <v>331</v>
      </c>
      <c r="K698" s="118" t="s">
        <v>341</v>
      </c>
      <c r="L698" s="116">
        <v>5</v>
      </c>
      <c r="M698" s="119">
        <f t="shared" ca="1" si="61"/>
        <v>165.05364080407085</v>
      </c>
      <c r="N698" s="119">
        <v>0</v>
      </c>
      <c r="O698" s="119">
        <v>0</v>
      </c>
      <c r="P698" s="119" t="s">
        <v>327</v>
      </c>
    </row>
    <row r="699" spans="8:16">
      <c r="H699" s="116">
        <v>2025</v>
      </c>
      <c r="I699" s="116" t="s">
        <v>352</v>
      </c>
      <c r="J699" s="116" t="s">
        <v>331</v>
      </c>
      <c r="K699" s="118" t="s">
        <v>342</v>
      </c>
      <c r="L699" s="116">
        <v>1</v>
      </c>
      <c r="M699" s="119">
        <f t="shared" ca="1" si="61"/>
        <v>5184.8850364585451</v>
      </c>
      <c r="N699" s="119">
        <v>0</v>
      </c>
      <c r="O699" s="119">
        <v>0</v>
      </c>
      <c r="P699" s="119" t="s">
        <v>327</v>
      </c>
    </row>
    <row r="700" spans="8:16">
      <c r="H700" s="116">
        <v>2025</v>
      </c>
      <c r="I700" s="116" t="s">
        <v>352</v>
      </c>
      <c r="J700" s="116" t="s">
        <v>343</v>
      </c>
      <c r="K700" s="118" t="s">
        <v>289</v>
      </c>
      <c r="L700" s="116">
        <v>2</v>
      </c>
      <c r="M700" s="119">
        <f t="shared" ca="1" si="61"/>
        <v>21552.704416195571</v>
      </c>
      <c r="N700" s="119">
        <v>0</v>
      </c>
      <c r="O700" s="119">
        <v>0</v>
      </c>
      <c r="P700" s="119" t="s">
        <v>327</v>
      </c>
    </row>
    <row r="701" spans="8:16">
      <c r="H701" s="116">
        <v>2025</v>
      </c>
      <c r="I701" s="116" t="s">
        <v>352</v>
      </c>
      <c r="J701" s="116" t="s">
        <v>344</v>
      </c>
      <c r="K701" s="118" t="s">
        <v>291</v>
      </c>
      <c r="L701" s="116">
        <v>2</v>
      </c>
      <c r="M701" s="119">
        <f t="shared" ca="1" si="61"/>
        <v>2006.6169554410524</v>
      </c>
      <c r="N701" s="119">
        <v>0</v>
      </c>
      <c r="O701" s="119">
        <v>0</v>
      </c>
      <c r="P701" s="119" t="s">
        <v>345</v>
      </c>
    </row>
    <row r="702" spans="8:16">
      <c r="H702" s="116">
        <v>2025</v>
      </c>
      <c r="I702" s="116" t="s">
        <v>352</v>
      </c>
      <c r="J702" s="116" t="s">
        <v>344</v>
      </c>
      <c r="K702" s="118" t="s">
        <v>292</v>
      </c>
      <c r="L702" s="116">
        <v>3</v>
      </c>
      <c r="M702" s="119">
        <f t="shared" ca="1" si="61"/>
        <v>451.19487694365461</v>
      </c>
      <c r="N702" s="119">
        <v>0</v>
      </c>
      <c r="O702" s="119">
        <v>0</v>
      </c>
      <c r="P702" s="119" t="s">
        <v>345</v>
      </c>
    </row>
    <row r="703" spans="8:16">
      <c r="H703" s="116">
        <v>2025</v>
      </c>
      <c r="I703" s="116" t="s">
        <v>352</v>
      </c>
      <c r="J703" s="116" t="s">
        <v>295</v>
      </c>
      <c r="K703" s="118" t="s">
        <v>295</v>
      </c>
      <c r="L703" s="116">
        <v>2</v>
      </c>
      <c r="M703" s="119">
        <f t="shared" ca="1" si="61"/>
        <v>11909.450442844583</v>
      </c>
      <c r="N703" s="119">
        <v>0</v>
      </c>
      <c r="O703" s="119">
        <v>0</v>
      </c>
      <c r="P703" s="119" t="s">
        <v>327</v>
      </c>
    </row>
    <row r="704" spans="8:16">
      <c r="H704" s="116">
        <v>2025</v>
      </c>
      <c r="I704" s="116" t="s">
        <v>354</v>
      </c>
      <c r="J704" s="116" t="s">
        <v>30</v>
      </c>
      <c r="K704" s="118" t="s">
        <v>31</v>
      </c>
      <c r="L704" s="116">
        <v>255</v>
      </c>
      <c r="M704" s="119">
        <f t="shared" ref="M704:M721" ca="1" si="62">Z86</f>
        <v>0</v>
      </c>
      <c r="N704" s="119">
        <v>0</v>
      </c>
      <c r="O704" s="119">
        <v>0</v>
      </c>
      <c r="P704" s="119" t="s">
        <v>327</v>
      </c>
    </row>
    <row r="705" spans="8:16">
      <c r="H705" s="116">
        <v>2025</v>
      </c>
      <c r="I705" s="116" t="s">
        <v>354</v>
      </c>
      <c r="J705" s="116" t="s">
        <v>30</v>
      </c>
      <c r="K705" s="118" t="s">
        <v>328</v>
      </c>
      <c r="L705" s="116">
        <v>165</v>
      </c>
      <c r="M705" s="119">
        <f t="shared" ca="1" si="62"/>
        <v>2275.5680446625761</v>
      </c>
      <c r="N705" s="119">
        <v>0</v>
      </c>
      <c r="O705" s="119">
        <v>0</v>
      </c>
      <c r="P705" s="119" t="s">
        <v>327</v>
      </c>
    </row>
    <row r="706" spans="8:16">
      <c r="H706" s="116">
        <v>2025</v>
      </c>
      <c r="I706" s="116" t="s">
        <v>354</v>
      </c>
      <c r="J706" s="116" t="s">
        <v>30</v>
      </c>
      <c r="K706" s="118" t="s">
        <v>329</v>
      </c>
      <c r="L706" s="116">
        <v>75</v>
      </c>
      <c r="M706" s="119">
        <f t="shared" ca="1" si="62"/>
        <v>0</v>
      </c>
      <c r="N706" s="119">
        <v>0</v>
      </c>
      <c r="O706" s="119">
        <v>0</v>
      </c>
      <c r="P706" s="119" t="s">
        <v>327</v>
      </c>
    </row>
    <row r="707" spans="8:16">
      <c r="H707" s="116">
        <v>2025</v>
      </c>
      <c r="I707" s="116" t="s">
        <v>354</v>
      </c>
      <c r="J707" s="116" t="s">
        <v>30</v>
      </c>
      <c r="K707" s="118" t="s">
        <v>330</v>
      </c>
      <c r="L707" s="116">
        <v>15</v>
      </c>
      <c r="M707" s="119">
        <f t="shared" ca="1" si="62"/>
        <v>859.97509021206508</v>
      </c>
      <c r="N707" s="119">
        <v>0</v>
      </c>
      <c r="O707" s="119">
        <v>0</v>
      </c>
      <c r="P707" s="119" t="s">
        <v>327</v>
      </c>
    </row>
    <row r="708" spans="8:16">
      <c r="H708" s="116">
        <v>2025</v>
      </c>
      <c r="I708" s="116" t="s">
        <v>354</v>
      </c>
      <c r="J708" s="116" t="s">
        <v>278</v>
      </c>
      <c r="K708" s="118" t="s">
        <v>278</v>
      </c>
      <c r="L708" s="116">
        <v>100</v>
      </c>
      <c r="M708" s="119">
        <f t="shared" ca="1" si="62"/>
        <v>116003.40209902108</v>
      </c>
      <c r="N708" s="119">
        <f ca="1">Z112</f>
        <v>308414.5063111498</v>
      </c>
      <c r="O708" s="119">
        <f ca="1">Z120</f>
        <v>45720.483574211503</v>
      </c>
      <c r="P708" s="119" t="s">
        <v>327</v>
      </c>
    </row>
    <row r="709" spans="8:16">
      <c r="H709" s="116">
        <v>2025</v>
      </c>
      <c r="I709" s="116" t="s">
        <v>354</v>
      </c>
      <c r="J709" s="116" t="s">
        <v>331</v>
      </c>
      <c r="K709" s="118" t="s">
        <v>332</v>
      </c>
      <c r="L709" s="116">
        <v>62.5</v>
      </c>
      <c r="M709" s="119">
        <f t="shared" ca="1" si="62"/>
        <v>1738.2811452283565</v>
      </c>
      <c r="N709" s="119">
        <v>0</v>
      </c>
      <c r="O709" s="119">
        <v>0</v>
      </c>
      <c r="P709" s="119" t="s">
        <v>327</v>
      </c>
    </row>
    <row r="710" spans="8:16">
      <c r="H710" s="116">
        <v>2025</v>
      </c>
      <c r="I710" s="116" t="s">
        <v>354</v>
      </c>
      <c r="J710" s="116" t="s">
        <v>331</v>
      </c>
      <c r="K710" s="118" t="s">
        <v>333</v>
      </c>
      <c r="L710" s="116">
        <v>1</v>
      </c>
      <c r="M710" s="119">
        <f t="shared" ca="1" si="62"/>
        <v>684.56672010265834</v>
      </c>
      <c r="N710" s="119">
        <v>0</v>
      </c>
      <c r="O710" s="119">
        <v>0</v>
      </c>
      <c r="P710" s="119" t="s">
        <v>327</v>
      </c>
    </row>
    <row r="711" spans="8:16">
      <c r="H711" s="116">
        <v>2025</v>
      </c>
      <c r="I711" s="116" t="s">
        <v>354</v>
      </c>
      <c r="J711" s="116" t="s">
        <v>331</v>
      </c>
      <c r="K711" s="118" t="s">
        <v>334</v>
      </c>
      <c r="L711" s="116">
        <v>1</v>
      </c>
      <c r="M711" s="119">
        <f t="shared" ca="1" si="62"/>
        <v>221.23578211997267</v>
      </c>
      <c r="N711" s="119">
        <v>0</v>
      </c>
      <c r="O711" s="119">
        <v>0</v>
      </c>
      <c r="P711" s="119" t="s">
        <v>327</v>
      </c>
    </row>
    <row r="712" spans="8:16">
      <c r="H712" s="116">
        <v>2025</v>
      </c>
      <c r="I712" s="116" t="s">
        <v>354</v>
      </c>
      <c r="J712" s="116" t="s">
        <v>331</v>
      </c>
      <c r="K712" s="118" t="s">
        <v>335</v>
      </c>
      <c r="L712" s="116">
        <v>2</v>
      </c>
      <c r="M712" s="119">
        <f t="shared" ca="1" si="62"/>
        <v>158.0255586571233</v>
      </c>
      <c r="N712" s="119">
        <v>0</v>
      </c>
      <c r="O712" s="119">
        <v>0</v>
      </c>
      <c r="P712" s="119" t="s">
        <v>327</v>
      </c>
    </row>
    <row r="713" spans="8:16">
      <c r="H713" s="116">
        <v>2025</v>
      </c>
      <c r="I713" s="116" t="s">
        <v>354</v>
      </c>
      <c r="J713" s="116" t="s">
        <v>331</v>
      </c>
      <c r="K713" s="118" t="s">
        <v>336</v>
      </c>
      <c r="L713" s="116">
        <v>2</v>
      </c>
      <c r="M713" s="119">
        <f t="shared" ca="1" si="62"/>
        <v>2745.3464254384721</v>
      </c>
      <c r="N713" s="119">
        <v>0</v>
      </c>
      <c r="O713" s="119">
        <v>0</v>
      </c>
      <c r="P713" s="119" t="s">
        <v>327</v>
      </c>
    </row>
    <row r="714" spans="8:16">
      <c r="H714" s="116">
        <v>2025</v>
      </c>
      <c r="I714" s="116" t="s">
        <v>354</v>
      </c>
      <c r="J714" s="116" t="s">
        <v>331</v>
      </c>
      <c r="K714" s="118" t="s">
        <v>337</v>
      </c>
      <c r="L714" s="116">
        <v>1</v>
      </c>
      <c r="M714" s="119">
        <f t="shared" ca="1" si="62"/>
        <v>35.334514915732775</v>
      </c>
      <c r="N714" s="119">
        <v>0</v>
      </c>
      <c r="O714" s="119">
        <v>0</v>
      </c>
      <c r="P714" s="119" t="s">
        <v>327</v>
      </c>
    </row>
    <row r="715" spans="8:16">
      <c r="H715" s="116">
        <v>2025</v>
      </c>
      <c r="I715" s="116" t="s">
        <v>354</v>
      </c>
      <c r="J715" s="116" t="s">
        <v>331</v>
      </c>
      <c r="K715" s="118" t="s">
        <v>338</v>
      </c>
      <c r="L715" s="116">
        <v>4</v>
      </c>
      <c r="M715" s="119">
        <f t="shared" ca="1" si="62"/>
        <v>252.84089385139737</v>
      </c>
      <c r="N715" s="119">
        <v>0</v>
      </c>
      <c r="O715" s="119">
        <v>0</v>
      </c>
      <c r="P715" s="119" t="s">
        <v>327</v>
      </c>
    </row>
    <row r="716" spans="8:16">
      <c r="H716" s="116">
        <v>2025</v>
      </c>
      <c r="I716" s="116" t="s">
        <v>354</v>
      </c>
      <c r="J716" s="116" t="s">
        <v>331</v>
      </c>
      <c r="K716" s="118" t="s">
        <v>341</v>
      </c>
      <c r="L716" s="116">
        <v>5</v>
      </c>
      <c r="M716" s="119">
        <f t="shared" ca="1" si="62"/>
        <v>37.926134077709598</v>
      </c>
      <c r="N716" s="119">
        <v>0</v>
      </c>
      <c r="O716" s="119">
        <v>0</v>
      </c>
      <c r="P716" s="119" t="s">
        <v>327</v>
      </c>
    </row>
    <row r="717" spans="8:16">
      <c r="H717" s="116">
        <v>2025</v>
      </c>
      <c r="I717" s="116" t="s">
        <v>354</v>
      </c>
      <c r="J717" s="116" t="s">
        <v>331</v>
      </c>
      <c r="K717" s="118" t="s">
        <v>342</v>
      </c>
      <c r="L717" s="116">
        <v>1</v>
      </c>
      <c r="M717" s="119">
        <f t="shared" ca="1" si="62"/>
        <v>1191.3862918277841</v>
      </c>
      <c r="N717" s="119">
        <v>0</v>
      </c>
      <c r="O717" s="119">
        <v>0</v>
      </c>
      <c r="P717" s="119" t="s">
        <v>327</v>
      </c>
    </row>
    <row r="718" spans="8:16">
      <c r="H718" s="116">
        <v>2025</v>
      </c>
      <c r="I718" s="116" t="s">
        <v>354</v>
      </c>
      <c r="J718" s="116" t="s">
        <v>343</v>
      </c>
      <c r="K718" s="118" t="s">
        <v>289</v>
      </c>
      <c r="L718" s="116">
        <v>2</v>
      </c>
      <c r="M718" s="119">
        <f t="shared" ca="1" si="62"/>
        <v>4952.3945878673194</v>
      </c>
      <c r="N718" s="119">
        <v>0</v>
      </c>
      <c r="O718" s="119">
        <v>0</v>
      </c>
      <c r="P718" s="119" t="s">
        <v>327</v>
      </c>
    </row>
    <row r="719" spans="8:16">
      <c r="H719" s="116">
        <v>2025</v>
      </c>
      <c r="I719" s="116" t="s">
        <v>354</v>
      </c>
      <c r="J719" s="116" t="s">
        <v>344</v>
      </c>
      <c r="K719" s="118" t="s">
        <v>291</v>
      </c>
      <c r="L719" s="116">
        <v>2</v>
      </c>
      <c r="M719" s="119">
        <f t="shared" ca="1" si="62"/>
        <v>461.08176301910322</v>
      </c>
      <c r="N719" s="119">
        <v>0</v>
      </c>
      <c r="O719" s="119">
        <v>0</v>
      </c>
      <c r="P719" s="119" t="s">
        <v>345</v>
      </c>
    </row>
    <row r="720" spans="8:16">
      <c r="H720" s="116">
        <v>2025</v>
      </c>
      <c r="I720" s="116" t="s">
        <v>354</v>
      </c>
      <c r="J720" s="116" t="s">
        <v>344</v>
      </c>
      <c r="K720" s="118" t="s">
        <v>292</v>
      </c>
      <c r="L720" s="116">
        <v>3</v>
      </c>
      <c r="M720" s="119">
        <f t="shared" ca="1" si="62"/>
        <v>103.67585540541847</v>
      </c>
      <c r="N720" s="119">
        <v>0</v>
      </c>
      <c r="O720" s="119">
        <v>0</v>
      </c>
      <c r="P720" s="119" t="s">
        <v>345</v>
      </c>
    </row>
    <row r="721" spans="8:16">
      <c r="H721" s="116">
        <v>2025</v>
      </c>
      <c r="I721" s="116" t="s">
        <v>354</v>
      </c>
      <c r="J721" s="116" t="s">
        <v>295</v>
      </c>
      <c r="K721" s="118" t="s">
        <v>295</v>
      </c>
      <c r="L721" s="116">
        <v>2</v>
      </c>
      <c r="M721" s="119">
        <f t="shared" ca="1" si="62"/>
        <v>2736.5613511266542</v>
      </c>
      <c r="N721" s="119">
        <v>0</v>
      </c>
      <c r="O721" s="119">
        <v>0</v>
      </c>
      <c r="P721" s="119" t="s">
        <v>327</v>
      </c>
    </row>
  </sheetData>
  <mergeCells count="2">
    <mergeCell ref="S106:Z106"/>
    <mergeCell ref="S115:Z115"/>
  </mergeCells>
  <pageMargins left="0.7" right="0.7" top="0.75" bottom="0.75" header="0.3" footer="0.3"/>
  <pageSetup orientation="portrait"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6709F-7210-419C-AC14-68692401A91C}">
  <sheetPr codeName="Sheet7"/>
  <dimension ref="B1:CN28"/>
  <sheetViews>
    <sheetView showGridLines="0" zoomScale="84" zoomScaleNormal="90" workbookViewId="0">
      <selection activeCell="B3" sqref="B3:E10"/>
    </sheetView>
  </sheetViews>
  <sheetFormatPr defaultRowHeight="15.5"/>
  <cols>
    <col min="2" max="2" width="15.5" bestFit="1" customWidth="1"/>
    <col min="3" max="3" width="16" bestFit="1" customWidth="1"/>
    <col min="4" max="5" width="17.08203125" style="125" bestFit="1" customWidth="1"/>
    <col min="9" max="10" width="8.58203125" style="125"/>
    <col min="11" max="11" width="9.58203125" bestFit="1" customWidth="1"/>
    <col min="12" max="14" width="11.08203125" customWidth="1"/>
    <col min="15" max="15" width="8.58203125" style="127"/>
    <col min="17" max="17" width="16" bestFit="1" customWidth="1"/>
    <col min="18" max="18" width="14.33203125" bestFit="1" customWidth="1"/>
    <col min="19" max="19" width="6.9140625" style="125" customWidth="1"/>
    <col min="20" max="20" width="6.08203125" style="125" customWidth="1"/>
    <col min="21" max="21" width="11" customWidth="1"/>
    <col min="22" max="22" width="8.58203125" style="125"/>
    <col min="23" max="23" width="7.4140625" style="125" customWidth="1"/>
    <col min="26" max="26" width="12.58203125" bestFit="1" customWidth="1"/>
    <col min="27" max="27" width="16" bestFit="1" customWidth="1"/>
    <col min="28" max="28" width="17.08203125" bestFit="1" customWidth="1"/>
    <col min="32" max="32" width="12.58203125" bestFit="1" customWidth="1"/>
    <col min="33" max="33" width="20.6640625" bestFit="1" customWidth="1"/>
    <col min="34" max="34" width="7.5" customWidth="1"/>
    <col min="35" max="35" width="22.5" customWidth="1"/>
    <col min="38" max="38" width="12.58203125" bestFit="1" customWidth="1"/>
    <col min="39" max="39" width="16" bestFit="1" customWidth="1"/>
    <col min="40" max="40" width="17.08203125" bestFit="1" customWidth="1"/>
    <col min="43" max="43" width="11.08203125" customWidth="1"/>
    <col min="46" max="46" width="12.58203125" bestFit="1" customWidth="1"/>
    <col min="47" max="47" width="16" bestFit="1" customWidth="1"/>
    <col min="48" max="48" width="17.08203125" bestFit="1" customWidth="1"/>
    <col min="51" max="51" width="31.1640625" bestFit="1" customWidth="1"/>
    <col min="52" max="52" width="16" bestFit="1" customWidth="1"/>
    <col min="53" max="53" width="17.08203125" style="156" bestFit="1" customWidth="1"/>
    <col min="55" max="55" width="21.58203125" customWidth="1"/>
    <col min="56" max="56" width="10.9140625" customWidth="1"/>
    <col min="57" max="57" width="10.4140625" style="141" customWidth="1"/>
    <col min="59" max="59" width="16" bestFit="1" customWidth="1"/>
    <col min="60" max="60" width="14.33203125" bestFit="1" customWidth="1"/>
    <col min="62" max="62" width="13.4140625" customWidth="1"/>
    <col min="63" max="63" width="14.58203125" customWidth="1"/>
    <col min="65" max="65" width="16" bestFit="1" customWidth="1"/>
    <col min="66" max="66" width="23.58203125" bestFit="1" customWidth="1"/>
    <col min="67" max="67" width="11.25" bestFit="1" customWidth="1"/>
    <col min="68" max="68" width="19.5" bestFit="1" customWidth="1"/>
    <col min="69" max="69" width="9.75" bestFit="1" customWidth="1"/>
    <col min="70" max="70" width="11.5" bestFit="1" customWidth="1"/>
    <col min="71" max="71" width="12.08203125" bestFit="1" customWidth="1"/>
    <col min="72" max="72" width="9" bestFit="1" customWidth="1"/>
    <col min="73" max="73" width="8.9140625" bestFit="1" customWidth="1"/>
    <col min="74" max="74" width="10.33203125" bestFit="1" customWidth="1"/>
    <col min="75" max="75" width="7.75" bestFit="1" customWidth="1"/>
    <col min="76" max="76" width="15.25" bestFit="1" customWidth="1"/>
    <col min="77" max="77" width="24.5" bestFit="1" customWidth="1"/>
    <col min="78" max="78" width="16.33203125" bestFit="1" customWidth="1"/>
    <col min="79" max="79" width="11.75" bestFit="1" customWidth="1"/>
    <col min="80" max="80" width="7.75" bestFit="1" customWidth="1"/>
    <col min="81" max="81" width="11" bestFit="1" customWidth="1"/>
    <col min="82" max="82" width="7.25" bestFit="1" customWidth="1"/>
    <col min="83" max="83" width="27.33203125" bestFit="1" customWidth="1"/>
    <col min="84" max="84" width="10.58203125" bestFit="1" customWidth="1"/>
    <col min="85" max="85" width="17.4140625" bestFit="1" customWidth="1"/>
    <col min="86" max="86" width="15.5" bestFit="1" customWidth="1"/>
    <col min="87" max="87" width="16" bestFit="1" customWidth="1"/>
    <col min="88" max="88" width="17.08203125" style="156" bestFit="1" customWidth="1"/>
    <col min="89" max="89" width="17.4140625" bestFit="1" customWidth="1"/>
    <col min="90" max="90" width="16.4140625" bestFit="1" customWidth="1"/>
    <col min="91" max="91" width="17.4140625" bestFit="1" customWidth="1"/>
    <col min="92" max="92" width="16.4140625" bestFit="1" customWidth="1"/>
    <col min="93" max="93" width="17.4140625" bestFit="1" customWidth="1"/>
    <col min="94" max="94" width="16.4140625" bestFit="1" customWidth="1"/>
    <col min="95" max="95" width="17.4140625" bestFit="1" customWidth="1"/>
    <col min="96" max="96" width="16.4140625" bestFit="1" customWidth="1"/>
    <col min="97" max="97" width="17.4140625" bestFit="1" customWidth="1"/>
    <col min="98" max="98" width="16.4140625" bestFit="1" customWidth="1"/>
    <col min="99" max="99" width="17.4140625" bestFit="1" customWidth="1"/>
    <col min="100" max="100" width="27.5" bestFit="1" customWidth="1"/>
    <col min="101" max="101" width="17.4140625" bestFit="1" customWidth="1"/>
    <col min="102" max="102" width="21.4140625" bestFit="1" customWidth="1"/>
    <col min="103" max="103" width="22.4140625" bestFit="1" customWidth="1"/>
  </cols>
  <sheetData>
    <row r="1" spans="2:92">
      <c r="CH1" s="124" t="s">
        <v>320</v>
      </c>
      <c r="CI1" t="s">
        <v>355</v>
      </c>
    </row>
    <row r="2" spans="2:92">
      <c r="CL2" s="112" t="s">
        <v>356</v>
      </c>
      <c r="CM2" s="112"/>
    </row>
    <row r="3" spans="2:92">
      <c r="B3" s="124" t="s">
        <v>357</v>
      </c>
      <c r="C3" t="s">
        <v>358</v>
      </c>
      <c r="D3" t="s">
        <v>359</v>
      </c>
      <c r="E3" t="s">
        <v>360</v>
      </c>
      <c r="I3" s="126" t="s">
        <v>361</v>
      </c>
      <c r="J3" s="126" t="s">
        <v>362</v>
      </c>
      <c r="K3" s="126" t="s">
        <v>363</v>
      </c>
      <c r="L3" s="126" t="s">
        <v>364</v>
      </c>
      <c r="M3" s="126" t="s">
        <v>365</v>
      </c>
      <c r="N3" s="126" t="s">
        <v>366</v>
      </c>
      <c r="O3" s="131" t="s">
        <v>367</v>
      </c>
      <c r="Q3" t="s">
        <v>358</v>
      </c>
      <c r="R3" t="s">
        <v>368</v>
      </c>
      <c r="V3" s="126" t="s">
        <v>369</v>
      </c>
      <c r="W3" s="126" t="s">
        <v>370</v>
      </c>
      <c r="Z3" s="124" t="s">
        <v>357</v>
      </c>
      <c r="AA3" t="s">
        <v>358</v>
      </c>
      <c r="AB3" t="s">
        <v>359</v>
      </c>
      <c r="AD3" s="126" t="s">
        <v>371</v>
      </c>
      <c r="AF3" s="124" t="s">
        <v>357</v>
      </c>
      <c r="AG3" t="s">
        <v>372</v>
      </c>
      <c r="AI3" s="126" t="s">
        <v>373</v>
      </c>
      <c r="AL3" s="124" t="s">
        <v>357</v>
      </c>
      <c r="AM3" t="s">
        <v>358</v>
      </c>
      <c r="AN3" t="s">
        <v>359</v>
      </c>
      <c r="AP3" s="134" t="s">
        <v>345</v>
      </c>
      <c r="AQ3">
        <f>AM4</f>
        <v>10034</v>
      </c>
      <c r="AR3" s="133">
        <f>AN4</f>
        <v>4.7219801257061319E-3</v>
      </c>
      <c r="AT3" s="124" t="s">
        <v>357</v>
      </c>
      <c r="AU3" t="s">
        <v>358</v>
      </c>
      <c r="AV3" t="s">
        <v>359</v>
      </c>
      <c r="AY3" s="124" t="s">
        <v>357</v>
      </c>
      <c r="AZ3" t="s">
        <v>358</v>
      </c>
      <c r="BA3" s="156" t="s">
        <v>359</v>
      </c>
      <c r="BG3" t="s">
        <v>358</v>
      </c>
      <c r="BH3" t="s">
        <v>368</v>
      </c>
      <c r="BJ3" s="146" t="s">
        <v>374</v>
      </c>
      <c r="BK3" s="146" t="s">
        <v>375</v>
      </c>
      <c r="BM3" s="124" t="s">
        <v>358</v>
      </c>
      <c r="BN3" s="124" t="s">
        <v>376</v>
      </c>
      <c r="CH3" s="124" t="s">
        <v>357</v>
      </c>
      <c r="CI3" t="s">
        <v>358</v>
      </c>
      <c r="CJ3" s="156" t="s">
        <v>359</v>
      </c>
      <c r="CL3" s="170" t="s">
        <v>314</v>
      </c>
      <c r="CM3" s="170" t="s">
        <v>377</v>
      </c>
      <c r="CN3" s="170" t="s">
        <v>378</v>
      </c>
    </row>
    <row r="4" spans="2:92">
      <c r="B4" s="119" t="s">
        <v>30</v>
      </c>
      <c r="C4" s="202">
        <v>49605</v>
      </c>
      <c r="D4" s="202">
        <v>49605</v>
      </c>
      <c r="E4" s="130">
        <v>2.334401277014677E-2</v>
      </c>
      <c r="H4" s="119" t="s">
        <v>30</v>
      </c>
      <c r="I4" s="125">
        <v>1</v>
      </c>
      <c r="J4" s="125">
        <v>4</v>
      </c>
      <c r="K4">
        <f>VLOOKUP(H4,$B$4:$D$9,2,0)</f>
        <v>49605</v>
      </c>
      <c r="L4" t="str">
        <f>IF(K4=MAX($K$4:$K$9),K4,"")</f>
        <v/>
      </c>
      <c r="M4">
        <f>IF(K4=MAX($K$4:$K$9),"",K4)</f>
        <v>49605</v>
      </c>
      <c r="N4">
        <f>VLOOKUP(H4,$B$4:$E$9,3,0)</f>
        <v>49605</v>
      </c>
      <c r="O4" s="127">
        <f>VLOOKUP(H4,$B$4:$E$9,4,0)</f>
        <v>2.334401277014677E-2</v>
      </c>
      <c r="Q4" s="202">
        <v>2124956.0000000005</v>
      </c>
      <c r="R4" s="202">
        <v>2307410</v>
      </c>
      <c r="V4" s="127">
        <f>Q4/R4</f>
        <v>0.92092692672736987</v>
      </c>
      <c r="W4" s="127">
        <f>100%-V4</f>
        <v>7.9073073272630134E-2</v>
      </c>
      <c r="Z4" s="119" t="s">
        <v>326</v>
      </c>
      <c r="AA4" s="202">
        <v>121623.14310630818</v>
      </c>
      <c r="AB4" s="202">
        <v>121623.14310630818</v>
      </c>
      <c r="AD4">
        <f>AVERAGE(AA4:AA11)</f>
        <v>265619.49999999994</v>
      </c>
      <c r="AF4" s="119" t="s">
        <v>326</v>
      </c>
      <c r="AG4" s="202">
        <v>11496.55821671917</v>
      </c>
      <c r="AI4">
        <f>AG12</f>
        <v>182454</v>
      </c>
      <c r="AL4" s="119" t="s">
        <v>345</v>
      </c>
      <c r="AM4" s="202">
        <v>10034</v>
      </c>
      <c r="AN4" s="130">
        <v>4.7219801257061319E-3</v>
      </c>
      <c r="AP4" s="134" t="s">
        <v>327</v>
      </c>
      <c r="AQ4">
        <f>AM5</f>
        <v>2114922</v>
      </c>
      <c r="AR4" s="133">
        <f>AN5</f>
        <v>0.99527801987429387</v>
      </c>
      <c r="AT4" s="119" t="s">
        <v>345</v>
      </c>
      <c r="AU4" s="202">
        <v>10034</v>
      </c>
      <c r="AV4" s="130">
        <v>4.7219801257061319E-3</v>
      </c>
      <c r="AY4" s="119" t="s">
        <v>30</v>
      </c>
      <c r="AZ4" s="202">
        <v>49605.000000000007</v>
      </c>
      <c r="BA4" s="156">
        <v>2.3344012770146774E-2</v>
      </c>
      <c r="BC4" s="135" t="s">
        <v>30</v>
      </c>
      <c r="BD4">
        <f>VLOOKUP($BC4, $AY4:$BA27, 2, 0)</f>
        <v>49605.000000000007</v>
      </c>
      <c r="BE4" s="141">
        <f>VLOOKUP($BC4, $AY4:$BA27, 3, 0)</f>
        <v>2.3344012770146774E-2</v>
      </c>
      <c r="BG4" s="202">
        <v>2124956.0000000005</v>
      </c>
      <c r="BH4" s="202">
        <v>2307410</v>
      </c>
      <c r="BJ4" s="119">
        <f>$BG$4/Input!D13</f>
        <v>2124.9560000000006</v>
      </c>
      <c r="BK4" s="119">
        <f>($BH$4-$BG$4)/Input!D13</f>
        <v>182.45399999999952</v>
      </c>
      <c r="BM4" s="124" t="s">
        <v>357</v>
      </c>
      <c r="BN4" t="s">
        <v>334</v>
      </c>
      <c r="BO4" t="s">
        <v>328</v>
      </c>
      <c r="BP4" t="s">
        <v>341</v>
      </c>
      <c r="BQ4" t="s">
        <v>342</v>
      </c>
      <c r="BR4" t="s">
        <v>291</v>
      </c>
      <c r="BS4" t="s">
        <v>278</v>
      </c>
      <c r="BT4" t="s">
        <v>329</v>
      </c>
      <c r="BU4" t="s">
        <v>337</v>
      </c>
      <c r="BV4" t="s">
        <v>292</v>
      </c>
      <c r="BW4" t="s">
        <v>295</v>
      </c>
      <c r="BX4" t="s">
        <v>338</v>
      </c>
      <c r="BY4" t="s">
        <v>336</v>
      </c>
      <c r="BZ4" t="s">
        <v>289</v>
      </c>
      <c r="CA4" t="s">
        <v>31</v>
      </c>
      <c r="CB4" t="s">
        <v>332</v>
      </c>
      <c r="CC4" t="s">
        <v>330</v>
      </c>
      <c r="CD4" t="s">
        <v>335</v>
      </c>
      <c r="CE4" t="s">
        <v>333</v>
      </c>
      <c r="CF4" t="s">
        <v>379</v>
      </c>
      <c r="CH4" s="119" t="s">
        <v>30</v>
      </c>
      <c r="CI4" s="202">
        <v>49605</v>
      </c>
      <c r="CJ4" s="156">
        <v>0.17119576471237868</v>
      </c>
      <c r="CL4" s="119" t="s">
        <v>30</v>
      </c>
      <c r="CM4" s="171">
        <f>VLOOKUP(CL4, CH4:CJ9, 2, 0)</f>
        <v>49605</v>
      </c>
      <c r="CN4" s="172">
        <f>VLOOKUP(CL4, CH4:CJ9, 3, 0)</f>
        <v>0.17119576471237868</v>
      </c>
    </row>
    <row r="5" spans="2:92">
      <c r="B5" s="119" t="s">
        <v>278</v>
      </c>
      <c r="C5" s="202">
        <v>1835200</v>
      </c>
      <c r="D5" s="202">
        <v>1835200</v>
      </c>
      <c r="E5" s="130">
        <v>0.86364141186923404</v>
      </c>
      <c r="H5" s="119" t="s">
        <v>278</v>
      </c>
      <c r="I5" s="125">
        <v>7</v>
      </c>
      <c r="J5" s="125">
        <v>4</v>
      </c>
      <c r="K5">
        <f t="shared" ref="K5:K9" si="0">VLOOKUP(H5,$B$4:$D$9,2,0)</f>
        <v>1835200</v>
      </c>
      <c r="L5">
        <f t="shared" ref="L5:L9" si="1">IF(K5=MAX($K$4:$K$9),K5,"")</f>
        <v>1835200</v>
      </c>
      <c r="M5" t="str">
        <f t="shared" ref="M5:M9" si="2">IF(K5=MAX($K$4:$K$9),"",K5)</f>
        <v/>
      </c>
      <c r="N5">
        <f t="shared" ref="N5:N9" si="3">VLOOKUP(H5,$B$4:$E$9,3,0)</f>
        <v>1835200</v>
      </c>
      <c r="O5" s="127">
        <f t="shared" ref="O5:O9" si="4">VLOOKUP(H5,$B$4:$E$9,4,0)</f>
        <v>0.86364141186923404</v>
      </c>
      <c r="Z5" s="119" t="s">
        <v>346</v>
      </c>
      <c r="AA5" s="202">
        <v>73358.060591311456</v>
      </c>
      <c r="AB5" s="202">
        <v>73358.060591311456</v>
      </c>
      <c r="AF5" s="119" t="s">
        <v>346</v>
      </c>
      <c r="AG5" s="202">
        <v>4452.4257404696409</v>
      </c>
      <c r="AL5" s="119" t="s">
        <v>327</v>
      </c>
      <c r="AM5" s="202">
        <v>2114922</v>
      </c>
      <c r="AN5" s="130">
        <v>0.99527801987429387</v>
      </c>
      <c r="AT5" s="119" t="s">
        <v>327</v>
      </c>
      <c r="AU5" s="202">
        <v>2114922</v>
      </c>
      <c r="AV5" s="130">
        <v>0.99527801987429387</v>
      </c>
      <c r="AY5" s="132" t="s">
        <v>328</v>
      </c>
      <c r="AZ5" s="202">
        <v>36000.000000000007</v>
      </c>
      <c r="BA5" s="156">
        <v>1.694152725985856E-2</v>
      </c>
      <c r="BC5" s="136" t="s">
        <v>328</v>
      </c>
      <c r="BD5">
        <f>VLOOKUP($BC5, $AY5:$BA28, 2, 0)</f>
        <v>36000.000000000007</v>
      </c>
      <c r="BE5" s="141">
        <f t="shared" ref="BE5:BE27" si="5">VLOOKUP($BC5, $AY5:$BA28, 3, 0)</f>
        <v>1.694152725985856E-2</v>
      </c>
      <c r="BM5" s="119" t="s">
        <v>30</v>
      </c>
      <c r="BN5" s="202"/>
      <c r="BO5" s="202">
        <v>36000.000000000007</v>
      </c>
      <c r="BP5" s="202"/>
      <c r="BQ5" s="202"/>
      <c r="BR5" s="202"/>
      <c r="BS5" s="202"/>
      <c r="BT5" s="202">
        <v>0</v>
      </c>
      <c r="BU5" s="202"/>
      <c r="BV5" s="202"/>
      <c r="BW5" s="202"/>
      <c r="BX5" s="202"/>
      <c r="BY5" s="202"/>
      <c r="BZ5" s="202"/>
      <c r="CA5" s="202">
        <v>0</v>
      </c>
      <c r="CB5" s="202"/>
      <c r="CC5" s="202">
        <v>13605</v>
      </c>
      <c r="CD5" s="202"/>
      <c r="CE5" s="202"/>
      <c r="CF5" s="202">
        <v>49605.000000000007</v>
      </c>
      <c r="CH5" s="119" t="s">
        <v>344</v>
      </c>
      <c r="CI5" s="202">
        <v>10034.000000000002</v>
      </c>
      <c r="CJ5" s="156">
        <v>3.4629136238766414E-2</v>
      </c>
      <c r="CL5" s="119" t="s">
        <v>344</v>
      </c>
      <c r="CM5" s="171">
        <f t="shared" ref="CM5:CM9" si="6">VLOOKUP(CL5, CH5:CJ10, 2, 0)</f>
        <v>10034.000000000002</v>
      </c>
      <c r="CN5" s="172">
        <f t="shared" ref="CN5:CN9" si="7">VLOOKUP(CL5, CH5:CJ10, 3, 0)</f>
        <v>3.4629136238766414E-2</v>
      </c>
    </row>
    <row r="6" spans="2:92">
      <c r="B6" s="119" t="s">
        <v>344</v>
      </c>
      <c r="C6" s="202">
        <v>10034</v>
      </c>
      <c r="D6" s="202">
        <v>10034</v>
      </c>
      <c r="E6" s="130">
        <v>4.7219801257061319E-3</v>
      </c>
      <c r="H6" s="119" t="s">
        <v>344</v>
      </c>
      <c r="I6" s="125">
        <v>4</v>
      </c>
      <c r="J6" s="125">
        <v>2</v>
      </c>
      <c r="K6">
        <f t="shared" si="0"/>
        <v>10034</v>
      </c>
      <c r="L6" t="str">
        <f t="shared" si="1"/>
        <v/>
      </c>
      <c r="M6">
        <f t="shared" si="2"/>
        <v>10034</v>
      </c>
      <c r="N6">
        <f t="shared" si="3"/>
        <v>10034</v>
      </c>
      <c r="O6" s="127">
        <f t="shared" si="4"/>
        <v>4.7219801257061319E-3</v>
      </c>
      <c r="S6" s="125" t="s">
        <v>361</v>
      </c>
      <c r="T6" s="125" t="s">
        <v>362</v>
      </c>
      <c r="Z6" s="119" t="s">
        <v>347</v>
      </c>
      <c r="AA6" s="202">
        <v>253638.86193732367</v>
      </c>
      <c r="AB6" s="202">
        <v>253638.86193732367</v>
      </c>
      <c r="AF6" s="119" t="s">
        <v>347</v>
      </c>
      <c r="AG6" s="202">
        <v>23757.446897426435</v>
      </c>
      <c r="AL6" s="119" t="s">
        <v>379</v>
      </c>
      <c r="AM6" s="202">
        <v>2124956</v>
      </c>
      <c r="AN6" s="130">
        <v>1</v>
      </c>
      <c r="AT6" s="119" t="s">
        <v>379</v>
      </c>
      <c r="AU6" s="202">
        <v>2124956</v>
      </c>
      <c r="AV6" s="130">
        <v>1</v>
      </c>
      <c r="AY6" s="132" t="s">
        <v>329</v>
      </c>
      <c r="AZ6" s="202">
        <v>0</v>
      </c>
      <c r="BA6" s="156">
        <v>0</v>
      </c>
      <c r="BC6" s="136" t="s">
        <v>329</v>
      </c>
      <c r="BD6">
        <f t="shared" ref="BD6:BD27" si="8">VLOOKUP($BC6, $AY6:$BA29, 2, 0)</f>
        <v>0</v>
      </c>
      <c r="BE6" s="141">
        <f t="shared" si="5"/>
        <v>0</v>
      </c>
      <c r="BM6" s="119" t="s">
        <v>278</v>
      </c>
      <c r="BN6" s="202"/>
      <c r="BO6" s="202"/>
      <c r="BP6" s="202"/>
      <c r="BQ6" s="202"/>
      <c r="BR6" s="202"/>
      <c r="BS6" s="202">
        <v>1835200</v>
      </c>
      <c r="BT6" s="202"/>
      <c r="BU6" s="202"/>
      <c r="BV6" s="202"/>
      <c r="BW6" s="202"/>
      <c r="BX6" s="202"/>
      <c r="BY6" s="202"/>
      <c r="BZ6" s="202"/>
      <c r="CA6" s="202"/>
      <c r="CB6" s="202"/>
      <c r="CC6" s="202"/>
      <c r="CD6" s="202"/>
      <c r="CE6" s="202"/>
      <c r="CF6" s="202">
        <v>1835200</v>
      </c>
      <c r="CH6" s="119" t="s">
        <v>343</v>
      </c>
      <c r="CI6" s="202">
        <v>78348.000000000015</v>
      </c>
      <c r="CJ6" s="156">
        <v>0.27039302033435031</v>
      </c>
      <c r="CL6" s="119" t="s">
        <v>343</v>
      </c>
      <c r="CM6" s="171">
        <f t="shared" si="6"/>
        <v>78348.000000000015</v>
      </c>
      <c r="CN6" s="172">
        <f t="shared" si="7"/>
        <v>0.27039302033435031</v>
      </c>
    </row>
    <row r="7" spans="2:92">
      <c r="B7" s="119" t="s">
        <v>343</v>
      </c>
      <c r="C7" s="202">
        <v>78348</v>
      </c>
      <c r="D7" s="202">
        <v>78348</v>
      </c>
      <c r="E7" s="130">
        <v>3.6870410493205504E-2</v>
      </c>
      <c r="H7" s="119" t="s">
        <v>343</v>
      </c>
      <c r="I7" s="125">
        <v>2</v>
      </c>
      <c r="J7" s="125">
        <v>8</v>
      </c>
      <c r="K7">
        <f t="shared" si="0"/>
        <v>78348</v>
      </c>
      <c r="L7" t="str">
        <f t="shared" si="1"/>
        <v/>
      </c>
      <c r="M7">
        <f t="shared" si="2"/>
        <v>78348</v>
      </c>
      <c r="N7">
        <f t="shared" si="3"/>
        <v>78348</v>
      </c>
      <c r="O7" s="127">
        <f t="shared" si="4"/>
        <v>3.6870410493205504E-2</v>
      </c>
      <c r="Q7" t="s">
        <v>323</v>
      </c>
      <c r="R7">
        <f>R4</f>
        <v>2307410</v>
      </c>
      <c r="S7" s="125">
        <v>1</v>
      </c>
      <c r="T7" s="125">
        <v>1</v>
      </c>
      <c r="Z7" s="119" t="s">
        <v>348</v>
      </c>
      <c r="AA7" s="202">
        <v>311053.97538166295</v>
      </c>
      <c r="AB7" s="202">
        <v>311053.97538166295</v>
      </c>
      <c r="AF7" s="119" t="s">
        <v>348</v>
      </c>
      <c r="AG7" s="202">
        <v>23837.406847024751</v>
      </c>
      <c r="AI7" s="125">
        <v>2</v>
      </c>
      <c r="AJ7" s="125">
        <v>2</v>
      </c>
      <c r="AY7" s="132" t="s">
        <v>31</v>
      </c>
      <c r="AZ7" s="202">
        <v>0</v>
      </c>
      <c r="BA7" s="156">
        <v>0</v>
      </c>
      <c r="BC7" s="136" t="s">
        <v>31</v>
      </c>
      <c r="BD7">
        <f t="shared" si="8"/>
        <v>0</v>
      </c>
      <c r="BE7" s="141">
        <f t="shared" si="5"/>
        <v>0</v>
      </c>
      <c r="BM7" s="119" t="s">
        <v>344</v>
      </c>
      <c r="BN7" s="202"/>
      <c r="BO7" s="202"/>
      <c r="BP7" s="202"/>
      <c r="BQ7" s="202"/>
      <c r="BR7" s="202">
        <v>8192</v>
      </c>
      <c r="BS7" s="202"/>
      <c r="BT7" s="202"/>
      <c r="BU7" s="202"/>
      <c r="BV7" s="202">
        <v>1842.0000000000002</v>
      </c>
      <c r="BW7" s="202"/>
      <c r="BX7" s="202"/>
      <c r="BY7" s="202"/>
      <c r="BZ7" s="202"/>
      <c r="CA7" s="202"/>
      <c r="CB7" s="202"/>
      <c r="CC7" s="202"/>
      <c r="CD7" s="202"/>
      <c r="CE7" s="202"/>
      <c r="CF7" s="202">
        <v>10034</v>
      </c>
      <c r="CH7" s="119" t="s">
        <v>295</v>
      </c>
      <c r="CI7" s="202">
        <v>40000</v>
      </c>
      <c r="CJ7" s="156">
        <v>0.13804718452767156</v>
      </c>
      <c r="CL7" s="119" t="s">
        <v>295</v>
      </c>
      <c r="CM7" s="171">
        <f t="shared" si="6"/>
        <v>40000</v>
      </c>
      <c r="CN7" s="172">
        <f t="shared" si="7"/>
        <v>0.13804718452767156</v>
      </c>
    </row>
    <row r="8" spans="2:92">
      <c r="B8" s="119" t="s">
        <v>295</v>
      </c>
      <c r="C8" s="202">
        <v>40000</v>
      </c>
      <c r="D8" s="202">
        <v>40000</v>
      </c>
      <c r="E8" s="130">
        <v>1.8823919177620618E-2</v>
      </c>
      <c r="H8" s="119" t="s">
        <v>295</v>
      </c>
      <c r="I8" s="125">
        <v>6</v>
      </c>
      <c r="J8" s="125">
        <v>7</v>
      </c>
      <c r="K8">
        <f t="shared" si="0"/>
        <v>40000</v>
      </c>
      <c r="L8" t="str">
        <f t="shared" si="1"/>
        <v/>
      </c>
      <c r="M8">
        <f t="shared" si="2"/>
        <v>40000</v>
      </c>
      <c r="N8">
        <f t="shared" si="3"/>
        <v>40000</v>
      </c>
      <c r="O8" s="127">
        <f t="shared" si="4"/>
        <v>1.8823919177620618E-2</v>
      </c>
      <c r="Q8" t="s">
        <v>380</v>
      </c>
      <c r="R8">
        <f>Q4</f>
        <v>2124956.0000000005</v>
      </c>
      <c r="S8" s="125">
        <v>3</v>
      </c>
      <c r="T8" s="125">
        <v>1</v>
      </c>
      <c r="Z8" s="119" t="s">
        <v>349</v>
      </c>
      <c r="AA8" s="202">
        <v>452358.11240537884</v>
      </c>
      <c r="AB8" s="202">
        <v>452358.11240537884</v>
      </c>
      <c r="AF8" s="119" t="s">
        <v>349</v>
      </c>
      <c r="AG8" s="202">
        <v>3470.6076399905437</v>
      </c>
      <c r="AY8" s="132" t="s">
        <v>330</v>
      </c>
      <c r="AZ8" s="202">
        <v>13605</v>
      </c>
      <c r="BA8" s="156">
        <v>6.402485510288213E-3</v>
      </c>
      <c r="BC8" s="136" t="s">
        <v>330</v>
      </c>
      <c r="BD8">
        <f t="shared" si="8"/>
        <v>13605</v>
      </c>
      <c r="BE8" s="141">
        <f t="shared" si="5"/>
        <v>6.402485510288213E-3</v>
      </c>
      <c r="BM8" s="119" t="s">
        <v>343</v>
      </c>
      <c r="BN8" s="202"/>
      <c r="BO8" s="202"/>
      <c r="BP8" s="202"/>
      <c r="BQ8" s="202"/>
      <c r="BR8" s="202"/>
      <c r="BS8" s="202"/>
      <c r="BT8" s="202"/>
      <c r="BU8" s="202"/>
      <c r="BV8" s="202"/>
      <c r="BW8" s="202"/>
      <c r="BX8" s="202"/>
      <c r="BY8" s="202"/>
      <c r="BZ8" s="202">
        <v>78348</v>
      </c>
      <c r="CA8" s="202"/>
      <c r="CB8" s="202"/>
      <c r="CC8" s="202"/>
      <c r="CD8" s="202"/>
      <c r="CE8" s="202"/>
      <c r="CF8" s="202">
        <v>78348</v>
      </c>
      <c r="CH8" s="119" t="s">
        <v>331</v>
      </c>
      <c r="CI8" s="202">
        <v>111768.99999999999</v>
      </c>
      <c r="CJ8" s="156">
        <v>0.38573489418683299</v>
      </c>
      <c r="CL8" s="119" t="s">
        <v>331</v>
      </c>
      <c r="CM8" s="171">
        <f t="shared" si="6"/>
        <v>111768.99999999999</v>
      </c>
      <c r="CN8" s="172">
        <f t="shared" si="7"/>
        <v>0.38573489418683299</v>
      </c>
    </row>
    <row r="9" spans="2:92">
      <c r="B9" s="119" t="s">
        <v>331</v>
      </c>
      <c r="C9" s="202">
        <v>111768.99999999999</v>
      </c>
      <c r="D9" s="202">
        <v>111768.99999999999</v>
      </c>
      <c r="E9" s="130">
        <v>5.259826556408697E-2</v>
      </c>
      <c r="H9" s="119" t="s">
        <v>331</v>
      </c>
      <c r="I9" s="125">
        <v>4</v>
      </c>
      <c r="J9" s="125">
        <v>9</v>
      </c>
      <c r="K9">
        <f t="shared" si="0"/>
        <v>111768.99999999999</v>
      </c>
      <c r="L9" t="str">
        <f t="shared" si="1"/>
        <v/>
      </c>
      <c r="M9">
        <f t="shared" si="2"/>
        <v>111768.99999999999</v>
      </c>
      <c r="N9">
        <f t="shared" si="3"/>
        <v>111768.99999999999</v>
      </c>
      <c r="O9" s="127">
        <f t="shared" si="4"/>
        <v>5.259826556408697E-2</v>
      </c>
      <c r="Z9" s="119" t="s">
        <v>350</v>
      </c>
      <c r="AA9" s="202">
        <v>375983.61171341466</v>
      </c>
      <c r="AB9" s="202">
        <v>375983.61171341466</v>
      </c>
      <c r="AF9" s="119" t="s">
        <v>350</v>
      </c>
      <c r="AG9" s="202">
        <v>46617.571965153744</v>
      </c>
      <c r="AY9" s="119" t="s">
        <v>278</v>
      </c>
      <c r="AZ9" s="202">
        <v>1835200</v>
      </c>
      <c r="BA9" s="156">
        <v>0.86364141186923404</v>
      </c>
      <c r="BC9" s="135" t="s">
        <v>278</v>
      </c>
      <c r="BD9">
        <f t="shared" si="8"/>
        <v>1835200</v>
      </c>
      <c r="BE9" s="141">
        <f t="shared" si="5"/>
        <v>0.86364141186923404</v>
      </c>
      <c r="BM9" s="119" t="s">
        <v>295</v>
      </c>
      <c r="BN9" s="202"/>
      <c r="BO9" s="202"/>
      <c r="BP9" s="202"/>
      <c r="BQ9" s="202"/>
      <c r="BR9" s="202"/>
      <c r="BS9" s="202"/>
      <c r="BT9" s="202"/>
      <c r="BU9" s="202"/>
      <c r="BV9" s="202"/>
      <c r="BW9" s="202">
        <v>40000</v>
      </c>
      <c r="BX9" s="202"/>
      <c r="BY9" s="202"/>
      <c r="BZ9" s="202"/>
      <c r="CA9" s="202"/>
      <c r="CB9" s="202"/>
      <c r="CC9" s="202"/>
      <c r="CD9" s="202"/>
      <c r="CE9" s="202"/>
      <c r="CF9" s="202">
        <v>40000</v>
      </c>
      <c r="CH9" s="119" t="s">
        <v>379</v>
      </c>
      <c r="CI9" s="202">
        <v>289756</v>
      </c>
      <c r="CJ9" s="156">
        <v>1</v>
      </c>
      <c r="CL9" s="173" t="s">
        <v>379</v>
      </c>
      <c r="CM9" s="174">
        <f t="shared" si="6"/>
        <v>289756</v>
      </c>
      <c r="CN9" s="175">
        <f t="shared" si="7"/>
        <v>1</v>
      </c>
    </row>
    <row r="10" spans="2:92">
      <c r="B10" s="119" t="s">
        <v>379</v>
      </c>
      <c r="C10" s="202">
        <v>2124956</v>
      </c>
      <c r="D10" s="202">
        <v>2124956</v>
      </c>
      <c r="E10" s="130">
        <v>1</v>
      </c>
      <c r="Z10" s="119" t="s">
        <v>352</v>
      </c>
      <c r="AA10" s="202">
        <v>303498.09776101133</v>
      </c>
      <c r="AB10" s="202">
        <v>303498.09776101133</v>
      </c>
      <c r="AF10" s="119" t="s">
        <v>352</v>
      </c>
      <c r="AG10" s="202">
        <v>29216.8617827091</v>
      </c>
      <c r="AY10" s="132" t="s">
        <v>278</v>
      </c>
      <c r="AZ10" s="202">
        <v>1835200</v>
      </c>
      <c r="BA10" s="156">
        <v>0.86364141186923404</v>
      </c>
      <c r="BC10" s="136" t="s">
        <v>278</v>
      </c>
      <c r="BD10">
        <f t="shared" si="8"/>
        <v>1835200</v>
      </c>
      <c r="BE10" s="141">
        <f t="shared" si="5"/>
        <v>0.86364141186923404</v>
      </c>
      <c r="BM10" s="119" t="s">
        <v>331</v>
      </c>
      <c r="BN10" s="202">
        <v>3500.0000000000005</v>
      </c>
      <c r="BO10" s="202"/>
      <c r="BP10" s="202">
        <v>600</v>
      </c>
      <c r="BQ10" s="202">
        <v>18848</v>
      </c>
      <c r="BR10" s="202"/>
      <c r="BS10" s="202"/>
      <c r="BT10" s="202"/>
      <c r="BU10" s="202">
        <v>559.00000000000011</v>
      </c>
      <c r="BV10" s="202"/>
      <c r="BW10" s="202"/>
      <c r="BX10" s="202">
        <v>4000.0000000000005</v>
      </c>
      <c r="BY10" s="202">
        <v>43432</v>
      </c>
      <c r="BZ10" s="202"/>
      <c r="CA10" s="202"/>
      <c r="CB10" s="202">
        <v>27500.000000000004</v>
      </c>
      <c r="CC10" s="202"/>
      <c r="CD10" s="202">
        <v>2500</v>
      </c>
      <c r="CE10" s="202">
        <v>10830</v>
      </c>
      <c r="CF10" s="202">
        <v>111769</v>
      </c>
      <c r="CJ10"/>
    </row>
    <row r="11" spans="2:92">
      <c r="Z11" s="119" t="s">
        <v>354</v>
      </c>
      <c r="AA11" s="202">
        <v>233442.13710358876</v>
      </c>
      <c r="AB11" s="202">
        <v>233442.13710358876</v>
      </c>
      <c r="AF11" s="119" t="s">
        <v>354</v>
      </c>
      <c r="AG11" s="202">
        <v>39605.120910506608</v>
      </c>
      <c r="AY11" s="119" t="s">
        <v>344</v>
      </c>
      <c r="AZ11" s="202">
        <v>10034</v>
      </c>
      <c r="BA11" s="156">
        <v>4.7219801257061319E-3</v>
      </c>
      <c r="BC11" s="135" t="s">
        <v>344</v>
      </c>
      <c r="BD11">
        <f t="shared" si="8"/>
        <v>10034</v>
      </c>
      <c r="BE11" s="141">
        <f t="shared" si="5"/>
        <v>4.7219801257061319E-3</v>
      </c>
      <c r="BM11" s="119" t="s">
        <v>379</v>
      </c>
      <c r="BN11" s="202">
        <v>3500.0000000000005</v>
      </c>
      <c r="BO11" s="202">
        <v>36000.000000000007</v>
      </c>
      <c r="BP11" s="202">
        <v>600</v>
      </c>
      <c r="BQ11" s="202">
        <v>18848</v>
      </c>
      <c r="BR11" s="202">
        <v>8192</v>
      </c>
      <c r="BS11" s="202">
        <v>1835200</v>
      </c>
      <c r="BT11" s="202">
        <v>0</v>
      </c>
      <c r="BU11" s="202">
        <v>559.00000000000011</v>
      </c>
      <c r="BV11" s="202">
        <v>1842.0000000000002</v>
      </c>
      <c r="BW11" s="202">
        <v>40000</v>
      </c>
      <c r="BX11" s="202">
        <v>4000.0000000000005</v>
      </c>
      <c r="BY11" s="202">
        <v>43432</v>
      </c>
      <c r="BZ11" s="202">
        <v>78348</v>
      </c>
      <c r="CA11" s="202">
        <v>0</v>
      </c>
      <c r="CB11" s="202">
        <v>27500.000000000004</v>
      </c>
      <c r="CC11" s="202">
        <v>13605</v>
      </c>
      <c r="CD11" s="202">
        <v>2500</v>
      </c>
      <c r="CE11" s="202">
        <v>10830</v>
      </c>
      <c r="CF11" s="202">
        <v>2124956</v>
      </c>
      <c r="CJ11"/>
    </row>
    <row r="12" spans="2:92">
      <c r="Z12" s="119" t="s">
        <v>379</v>
      </c>
      <c r="AA12" s="202">
        <v>2124955.9999999995</v>
      </c>
      <c r="AB12" s="202">
        <v>2124955.9999999995</v>
      </c>
      <c r="AF12" s="119" t="s">
        <v>379</v>
      </c>
      <c r="AG12" s="202">
        <v>182454</v>
      </c>
      <c r="AY12" s="132" t="s">
        <v>291</v>
      </c>
      <c r="AZ12" s="202">
        <v>8192</v>
      </c>
      <c r="BA12" s="156">
        <v>3.8551386475767029E-3</v>
      </c>
      <c r="BC12" s="136" t="s">
        <v>291</v>
      </c>
      <c r="BD12">
        <f t="shared" si="8"/>
        <v>8192</v>
      </c>
      <c r="BE12" s="141">
        <f t="shared" si="5"/>
        <v>3.8551386475767029E-3</v>
      </c>
      <c r="CJ12"/>
    </row>
    <row r="13" spans="2:92">
      <c r="AY13" s="132" t="s">
        <v>292</v>
      </c>
      <c r="AZ13" s="202">
        <v>1842.0000000000002</v>
      </c>
      <c r="BA13" s="156">
        <v>8.6684147812942963E-4</v>
      </c>
      <c r="BC13" s="136" t="s">
        <v>292</v>
      </c>
      <c r="BD13">
        <f t="shared" si="8"/>
        <v>1842.0000000000002</v>
      </c>
      <c r="BE13" s="141">
        <f t="shared" si="5"/>
        <v>8.6684147812942963E-4</v>
      </c>
      <c r="CJ13"/>
    </row>
    <row r="14" spans="2:92">
      <c r="AY14" s="119" t="s">
        <v>343</v>
      </c>
      <c r="AZ14" s="202">
        <v>78348</v>
      </c>
      <c r="BA14" s="156">
        <v>3.6870410493205504E-2</v>
      </c>
      <c r="BC14" s="135" t="s">
        <v>343</v>
      </c>
      <c r="BD14">
        <f t="shared" si="8"/>
        <v>78348</v>
      </c>
      <c r="BE14" s="141">
        <f t="shared" si="5"/>
        <v>3.6870410493205504E-2</v>
      </c>
      <c r="CJ14"/>
    </row>
    <row r="15" spans="2:92">
      <c r="AY15" s="132" t="s">
        <v>289</v>
      </c>
      <c r="AZ15" s="202">
        <v>78348</v>
      </c>
      <c r="BA15" s="156">
        <v>3.6870410493205504E-2</v>
      </c>
      <c r="BC15" s="136" t="s">
        <v>289</v>
      </c>
      <c r="BD15">
        <f t="shared" si="8"/>
        <v>78348</v>
      </c>
      <c r="BE15" s="141">
        <f t="shared" si="5"/>
        <v>3.6870410493205504E-2</v>
      </c>
      <c r="CJ15"/>
    </row>
    <row r="16" spans="2:92">
      <c r="AY16" s="119" t="s">
        <v>295</v>
      </c>
      <c r="AZ16" s="202">
        <v>40000</v>
      </c>
      <c r="BA16" s="156">
        <v>1.8823919177620618E-2</v>
      </c>
      <c r="BC16" s="135" t="s">
        <v>295</v>
      </c>
      <c r="BD16">
        <f t="shared" si="8"/>
        <v>40000</v>
      </c>
      <c r="BE16" s="141">
        <f t="shared" si="5"/>
        <v>1.8823919177620618E-2</v>
      </c>
      <c r="CJ16"/>
    </row>
    <row r="17" spans="51:88">
      <c r="AY17" s="132" t="s">
        <v>295</v>
      </c>
      <c r="AZ17" s="202">
        <v>40000</v>
      </c>
      <c r="BA17" s="156">
        <v>1.8823919177620618E-2</v>
      </c>
      <c r="BC17" s="136" t="s">
        <v>295</v>
      </c>
      <c r="BD17">
        <f t="shared" si="8"/>
        <v>40000</v>
      </c>
      <c r="BE17" s="141">
        <f t="shared" si="5"/>
        <v>1.8823919177620618E-2</v>
      </c>
      <c r="CJ17"/>
    </row>
    <row r="18" spans="51:88">
      <c r="AY18" s="119" t="s">
        <v>331</v>
      </c>
      <c r="AZ18" s="202">
        <v>111769</v>
      </c>
      <c r="BA18" s="156">
        <v>5.2598265564086977E-2</v>
      </c>
      <c r="BC18" s="135" t="s">
        <v>331</v>
      </c>
      <c r="BD18">
        <f t="shared" si="8"/>
        <v>111769</v>
      </c>
      <c r="BE18" s="141">
        <f t="shared" si="5"/>
        <v>5.2598265564086977E-2</v>
      </c>
      <c r="CJ18"/>
    </row>
    <row r="19" spans="51:88">
      <c r="AY19" s="132" t="s">
        <v>334</v>
      </c>
      <c r="AZ19" s="202">
        <v>3500.0000000000005</v>
      </c>
      <c r="BA19" s="156">
        <v>1.6470929280418044E-3</v>
      </c>
      <c r="BC19" s="136" t="s">
        <v>334</v>
      </c>
      <c r="BD19">
        <f t="shared" si="8"/>
        <v>3500.0000000000005</v>
      </c>
      <c r="BE19" s="141">
        <f t="shared" si="5"/>
        <v>1.6470929280418044E-3</v>
      </c>
      <c r="CJ19"/>
    </row>
    <row r="20" spans="51:88">
      <c r="AY20" s="132" t="s">
        <v>341</v>
      </c>
      <c r="AZ20" s="202">
        <v>600</v>
      </c>
      <c r="BA20" s="156">
        <v>2.8235878766430929E-4</v>
      </c>
      <c r="BC20" s="136" t="s">
        <v>341</v>
      </c>
      <c r="BD20">
        <f t="shared" si="8"/>
        <v>600</v>
      </c>
      <c r="BE20" s="141">
        <f t="shared" si="5"/>
        <v>2.8235878766430929E-4</v>
      </c>
      <c r="CJ20"/>
    </row>
    <row r="21" spans="51:88">
      <c r="AY21" s="132" t="s">
        <v>342</v>
      </c>
      <c r="AZ21" s="202">
        <v>18848</v>
      </c>
      <c r="BA21" s="156">
        <v>8.8698307164948361E-3</v>
      </c>
      <c r="BC21" s="136" t="s">
        <v>342</v>
      </c>
      <c r="BD21">
        <f t="shared" si="8"/>
        <v>18848</v>
      </c>
      <c r="BE21" s="141">
        <f t="shared" si="5"/>
        <v>8.8698307164948361E-3</v>
      </c>
      <c r="CJ21"/>
    </row>
    <row r="22" spans="51:88">
      <c r="AY22" s="132" t="s">
        <v>337</v>
      </c>
      <c r="AZ22" s="202">
        <v>559.00000000000011</v>
      </c>
      <c r="BA22" s="156">
        <v>2.6306427050724819E-4</v>
      </c>
      <c r="BC22" s="136" t="s">
        <v>337</v>
      </c>
      <c r="BD22">
        <f t="shared" si="8"/>
        <v>559.00000000000011</v>
      </c>
      <c r="BE22" s="141">
        <f t="shared" si="5"/>
        <v>2.6306427050724819E-4</v>
      </c>
      <c r="CJ22"/>
    </row>
    <row r="23" spans="51:88">
      <c r="AY23" s="132" t="s">
        <v>338</v>
      </c>
      <c r="AZ23" s="202">
        <v>4000.0000000000005</v>
      </c>
      <c r="BA23" s="156">
        <v>1.8823919177620621E-3</v>
      </c>
      <c r="BC23" s="136" t="s">
        <v>338</v>
      </c>
      <c r="BD23">
        <f t="shared" si="8"/>
        <v>4000.0000000000005</v>
      </c>
      <c r="BE23" s="141">
        <f t="shared" si="5"/>
        <v>1.8823919177620621E-3</v>
      </c>
      <c r="CJ23"/>
    </row>
    <row r="24" spans="51:88">
      <c r="AY24" s="132" t="s">
        <v>336</v>
      </c>
      <c r="AZ24" s="202">
        <v>43432</v>
      </c>
      <c r="BA24" s="156">
        <v>2.0439011443060467E-2</v>
      </c>
      <c r="BC24" s="136" t="s">
        <v>336</v>
      </c>
      <c r="BD24">
        <f t="shared" si="8"/>
        <v>43432</v>
      </c>
      <c r="BE24" s="141">
        <f t="shared" si="5"/>
        <v>2.0439011443060467E-2</v>
      </c>
      <c r="CJ24"/>
    </row>
    <row r="25" spans="51:88">
      <c r="AY25" s="132" t="s">
        <v>332</v>
      </c>
      <c r="AZ25" s="202">
        <v>27500.000000000004</v>
      </c>
      <c r="BA25" s="156">
        <v>1.2941444434614178E-2</v>
      </c>
      <c r="BC25" s="136" t="s">
        <v>332</v>
      </c>
      <c r="BD25">
        <f t="shared" si="8"/>
        <v>27500.000000000004</v>
      </c>
      <c r="BE25" s="141">
        <f t="shared" si="5"/>
        <v>1.2941444434614178E-2</v>
      </c>
      <c r="CJ25"/>
    </row>
    <row r="26" spans="51:88">
      <c r="AY26" s="132" t="s">
        <v>335</v>
      </c>
      <c r="AZ26" s="202">
        <v>2500</v>
      </c>
      <c r="BA26" s="156">
        <v>1.1764949486012886E-3</v>
      </c>
      <c r="BC26" s="136" t="s">
        <v>335</v>
      </c>
      <c r="BD26">
        <f t="shared" si="8"/>
        <v>2500</v>
      </c>
      <c r="BE26" s="141">
        <f t="shared" si="5"/>
        <v>1.1764949486012886E-3</v>
      </c>
      <c r="CJ26"/>
    </row>
    <row r="27" spans="51:88">
      <c r="AY27" s="132" t="s">
        <v>333</v>
      </c>
      <c r="AZ27" s="202">
        <v>10830</v>
      </c>
      <c r="BA27" s="156">
        <v>5.0965761173407823E-3</v>
      </c>
      <c r="BC27" s="136" t="s">
        <v>333</v>
      </c>
      <c r="BD27">
        <f t="shared" si="8"/>
        <v>10830</v>
      </c>
      <c r="BE27" s="141">
        <f t="shared" si="5"/>
        <v>5.0965761173407823E-3</v>
      </c>
      <c r="CJ27"/>
    </row>
    <row r="28" spans="51:88">
      <c r="AY28" s="119" t="s">
        <v>379</v>
      </c>
      <c r="AZ28" s="202">
        <v>2124956</v>
      </c>
      <c r="BA28" s="156">
        <v>1</v>
      </c>
      <c r="CJ28"/>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FB2A5-BBA1-4337-B5C2-385519E0B0C7}">
  <sheetPr codeName="Sheet8">
    <tabColor rgb="FF194AFE"/>
  </sheetPr>
  <dimension ref="B8:F30"/>
  <sheetViews>
    <sheetView showGridLines="0" showRowColHeaders="0" zoomScaleNormal="100" workbookViewId="0">
      <selection activeCell="B10" sqref="B10"/>
    </sheetView>
  </sheetViews>
  <sheetFormatPr defaultColWidth="8.58203125" defaultRowHeight="15.5"/>
  <cols>
    <col min="1" max="1" width="8.58203125" style="122"/>
    <col min="2" max="2" width="10.25" style="122" bestFit="1" customWidth="1"/>
    <col min="3" max="16384" width="8.58203125" style="122"/>
  </cols>
  <sheetData>
    <row r="8" spans="2:6">
      <c r="F8" s="123"/>
    </row>
    <row r="10" spans="2:6" ht="18">
      <c r="B10" s="142">
        <f>Investment!B10</f>
        <v>1000</v>
      </c>
      <c r="C10" s="137" t="s">
        <v>381</v>
      </c>
    </row>
    <row r="27" spans="2:3">
      <c r="C27" s="128"/>
    </row>
    <row r="30" spans="2:3">
      <c r="B30" s="129"/>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33C1D-6B26-4881-BC87-F8DBFC2F1CF7}">
  <sheetPr codeName="Sheet9">
    <tabColor rgb="FF194AFE"/>
  </sheetPr>
  <dimension ref="B10:C10"/>
  <sheetViews>
    <sheetView showGridLines="0" showRowColHeaders="0" zoomScale="95" zoomScaleNormal="95" workbookViewId="0"/>
  </sheetViews>
  <sheetFormatPr defaultColWidth="8.58203125" defaultRowHeight="15.5"/>
  <cols>
    <col min="1" max="16384" width="8.58203125" style="121"/>
  </cols>
  <sheetData>
    <row r="10" spans="2:3" ht="18">
      <c r="B10" s="142">
        <f>Production!B10</f>
        <v>1000</v>
      </c>
      <c r="C10" s="137" t="s">
        <v>381</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2E0FEA-4CA1-4B26-BC8B-611AE0CA51E6}">
  <sheetPr codeName="Sheet10">
    <tabColor rgb="FF194AFE"/>
  </sheetPr>
  <dimension ref="B4:N10"/>
  <sheetViews>
    <sheetView showGridLines="0" showRowColHeaders="0" zoomScale="96" zoomScaleNormal="96" workbookViewId="0">
      <selection activeCell="AD42" sqref="AD42"/>
    </sheetView>
  </sheetViews>
  <sheetFormatPr defaultColWidth="8.58203125" defaultRowHeight="15.5"/>
  <cols>
    <col min="1" max="1" width="8.58203125" style="121"/>
    <col min="2" max="2" width="10.4140625" style="121" bestFit="1" customWidth="1"/>
    <col min="3" max="16384" width="8.58203125" style="121"/>
  </cols>
  <sheetData>
    <row r="4" spans="2:14">
      <c r="N4" s="121" t="s">
        <v>382</v>
      </c>
    </row>
    <row r="10" spans="2:14" ht="18">
      <c r="B10" s="142">
        <f>Investment!B10</f>
        <v>1000</v>
      </c>
      <c r="C10" s="137" t="s">
        <v>381</v>
      </c>
    </row>
  </sheetData>
  <pageMargins left="0.7" right="0.7" top="0.75" bottom="0.75" header="0.3" footer="0.3"/>
  <pageSetup orientation="landscape" r:id="rId1"/>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B4562-A5C5-49F3-896C-6890BA25F55B}">
  <sheetPr codeName="Sheet11">
    <tabColor rgb="FF194AFE"/>
  </sheetPr>
  <dimension ref="B7:R34"/>
  <sheetViews>
    <sheetView showGridLines="0" showRowColHeaders="0" tabSelected="1" zoomScaleNormal="100" workbookViewId="0">
      <selection activeCell="H28" sqref="H28"/>
    </sheetView>
  </sheetViews>
  <sheetFormatPr defaultColWidth="8.58203125" defaultRowHeight="15.5"/>
  <cols>
    <col min="1" max="1999" width="8.58203125" style="121"/>
    <col min="2000" max="2000" width="2.5" style="121" customWidth="1"/>
    <col min="2001" max="16384" width="8.58203125" style="121"/>
  </cols>
  <sheetData>
    <row r="7" spans="2:18">
      <c r="M7" s="169"/>
    </row>
    <row r="10" spans="2:18" ht="18">
      <c r="B10" s="142">
        <v>1000</v>
      </c>
      <c r="C10" s="137" t="s">
        <v>381</v>
      </c>
    </row>
    <row r="11" spans="2:18">
      <c r="H11" s="194">
        <v>304</v>
      </c>
      <c r="I11" s="194"/>
      <c r="K11" s="195">
        <v>600</v>
      </c>
      <c r="L11" s="195"/>
      <c r="M11" s="166"/>
      <c r="N11" s="193">
        <v>850</v>
      </c>
      <c r="O11" s="193"/>
      <c r="P11" s="166"/>
      <c r="Q11" s="193">
        <v>2.5</v>
      </c>
      <c r="R11" s="193"/>
    </row>
    <row r="12" spans="2:18">
      <c r="H12" s="194"/>
      <c r="I12" s="194"/>
      <c r="K12" s="195"/>
      <c r="L12" s="195"/>
      <c r="M12" s="166"/>
      <c r="N12" s="193"/>
      <c r="O12" s="193"/>
      <c r="P12" s="166"/>
      <c r="Q12" s="193"/>
      <c r="R12" s="193"/>
    </row>
    <row r="18" spans="7:18">
      <c r="H18" s="196">
        <v>6.5</v>
      </c>
      <c r="I18" s="196"/>
      <c r="K18" s="197">
        <v>45</v>
      </c>
      <c r="L18" s="197"/>
      <c r="N18" s="197">
        <v>170</v>
      </c>
      <c r="O18" s="197"/>
      <c r="Q18" s="198">
        <v>300</v>
      </c>
      <c r="R18" s="198"/>
    </row>
    <row r="19" spans="7:18">
      <c r="H19" s="196"/>
      <c r="I19" s="196"/>
      <c r="K19" s="197"/>
      <c r="L19" s="197"/>
      <c r="N19" s="197"/>
      <c r="O19" s="197"/>
      <c r="Q19" s="198"/>
      <c r="R19" s="198"/>
    </row>
    <row r="23" spans="7:18">
      <c r="G23" s="167"/>
    </row>
    <row r="24" spans="7:18">
      <c r="G24" s="167"/>
    </row>
    <row r="26" spans="7:18">
      <c r="G26" s="168"/>
      <c r="H26" s="199">
        <v>1</v>
      </c>
      <c r="I26" s="199"/>
      <c r="J26" s="168"/>
      <c r="K26" s="200">
        <v>2</v>
      </c>
      <c r="L26" s="200"/>
      <c r="M26" s="168"/>
      <c r="N26" s="200">
        <v>15</v>
      </c>
      <c r="O26" s="200"/>
      <c r="P26" s="168"/>
      <c r="Q26" s="201">
        <v>2.5</v>
      </c>
      <c r="R26" s="201"/>
    </row>
    <row r="27" spans="7:18">
      <c r="G27" s="168"/>
      <c r="H27" s="199"/>
      <c r="I27" s="199"/>
      <c r="J27" s="168"/>
      <c r="K27" s="200"/>
      <c r="L27" s="200"/>
      <c r="M27" s="168"/>
      <c r="N27" s="200"/>
      <c r="O27" s="200"/>
      <c r="P27" s="168"/>
      <c r="Q27" s="201"/>
      <c r="R27" s="201"/>
    </row>
    <row r="33" spans="11:15">
      <c r="K33" s="190">
        <v>277</v>
      </c>
      <c r="L33" s="190"/>
      <c r="N33" s="191">
        <f>Input!D23</f>
        <v>100</v>
      </c>
      <c r="O33" s="192"/>
    </row>
    <row r="34" spans="11:15">
      <c r="K34" s="190"/>
      <c r="L34" s="190"/>
      <c r="N34" s="192"/>
      <c r="O34" s="192"/>
    </row>
  </sheetData>
  <mergeCells count="14">
    <mergeCell ref="K33:L34"/>
    <mergeCell ref="N33:O34"/>
    <mergeCell ref="Q11:R12"/>
    <mergeCell ref="H11:I12"/>
    <mergeCell ref="K11:L12"/>
    <mergeCell ref="N11:O12"/>
    <mergeCell ref="H18:I19"/>
    <mergeCell ref="K18:L19"/>
    <mergeCell ref="N18:O19"/>
    <mergeCell ref="Q18:R19"/>
    <mergeCell ref="H26:I27"/>
    <mergeCell ref="K26:L27"/>
    <mergeCell ref="N26:O27"/>
    <mergeCell ref="Q26:R27"/>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Input</vt:lpstr>
      <vt:lpstr>Details</vt:lpstr>
      <vt:lpstr>Breakeven Analysis</vt:lpstr>
      <vt:lpstr>Summary</vt:lpstr>
      <vt:lpstr>Tables</vt:lpstr>
      <vt:lpstr>Pivot Tables</vt:lpstr>
      <vt:lpstr>Production</vt:lpstr>
      <vt:lpstr>Income</vt:lpstr>
      <vt:lpstr>Operations</vt:lpstr>
      <vt:lpstr>Investment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Adeolu J. Adekunle</dc:creator>
  <cp:keywords/>
  <dc:description/>
  <cp:lastModifiedBy>Adeolu J. Adekunle</cp:lastModifiedBy>
  <cp:revision/>
  <dcterms:created xsi:type="dcterms:W3CDTF">2023-11-03T18:55:09Z</dcterms:created>
  <dcterms:modified xsi:type="dcterms:W3CDTF">2025-02-14T20:38:10Z</dcterms:modified>
  <cp:category/>
  <cp:contentStatus/>
</cp:coreProperties>
</file>